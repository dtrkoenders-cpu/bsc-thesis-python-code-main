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KPDFS/results/"/>
    </mc:Choice>
  </mc:AlternateContent>
  <xr:revisionPtr revIDLastSave="1200" documentId="8_{BB40FEEB-55EA-4EA7-81E4-328CF64F3843}" xr6:coauthVersionLast="47" xr6:coauthVersionMax="47" xr10:uidLastSave="{53025C82-4206-472C-9782-A1C395C52417}"/>
  <bookViews>
    <workbookView minimized="1" xWindow="7545" yWindow="2370" windowWidth="14400" windowHeight="7275" firstSheet="3" activeTab="3" xr2:uid="{F14F367F-C337-40FB-8DAF-1B9E2C12DA3A}"/>
  </bookViews>
  <sheets>
    <sheet name="results_dp" sheetId="4" r:id="rId1"/>
    <sheet name="results_gurobi" sheetId="5" r:id="rId2"/>
    <sheet name="results_gurobi_test" sheetId="7" r:id="rId3"/>
    <sheet name="Analysis" sheetId="6" r:id="rId4"/>
  </sheets>
  <definedNames>
    <definedName name="_xlnm._FilterDatabase" localSheetId="0" hidden="1">results_dp!$A$1:$F$601</definedName>
    <definedName name="_xlnm._FilterDatabase" localSheetId="1" hidden="1">results_gurobi!$A$1:$F$601</definedName>
    <definedName name="_xlnm._FilterDatabase" localSheetId="2" hidden="1">results_gurobi_test!$A$1:$F$601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6" l="1"/>
  <c r="H60" i="6"/>
  <c r="J67" i="6"/>
  <c r="I67" i="6"/>
  <c r="H67" i="6"/>
  <c r="G67" i="6"/>
  <c r="F67" i="6"/>
  <c r="E67" i="6"/>
  <c r="D67" i="6"/>
  <c r="C67" i="6"/>
  <c r="J66" i="6"/>
  <c r="I66" i="6"/>
  <c r="H66" i="6"/>
  <c r="G66" i="6"/>
  <c r="F66" i="6"/>
  <c r="E66" i="6"/>
  <c r="D66" i="6"/>
  <c r="C66" i="6"/>
  <c r="J65" i="6"/>
  <c r="I65" i="6"/>
  <c r="H65" i="6"/>
  <c r="G65" i="6"/>
  <c r="F65" i="6"/>
  <c r="E65" i="6"/>
  <c r="D65" i="6"/>
  <c r="C65" i="6"/>
  <c r="J64" i="6"/>
  <c r="I64" i="6"/>
  <c r="H64" i="6"/>
  <c r="G64" i="6"/>
  <c r="F64" i="6"/>
  <c r="E64" i="6"/>
  <c r="D64" i="6"/>
  <c r="C64" i="6"/>
  <c r="J63" i="6"/>
  <c r="I63" i="6"/>
  <c r="H63" i="6"/>
  <c r="G63" i="6"/>
  <c r="F63" i="6"/>
  <c r="E63" i="6"/>
  <c r="D63" i="6"/>
  <c r="C63" i="6"/>
  <c r="J62" i="6"/>
  <c r="I62" i="6"/>
  <c r="H62" i="6"/>
  <c r="G62" i="6"/>
  <c r="F62" i="6"/>
  <c r="E62" i="6"/>
  <c r="D62" i="6"/>
  <c r="C62" i="6"/>
  <c r="J61" i="6"/>
  <c r="I61" i="6"/>
  <c r="H61" i="6"/>
  <c r="G61" i="6"/>
  <c r="F61" i="6"/>
  <c r="E61" i="6"/>
  <c r="D61" i="6"/>
  <c r="C61" i="6"/>
  <c r="J60" i="6"/>
  <c r="I60" i="6"/>
  <c r="G60" i="6"/>
  <c r="F60" i="6"/>
  <c r="E60" i="6"/>
  <c r="D60" i="6"/>
  <c r="C60" i="6"/>
  <c r="J59" i="6"/>
  <c r="I59" i="6"/>
  <c r="H59" i="6"/>
  <c r="G59" i="6"/>
  <c r="F59" i="6"/>
  <c r="E59" i="6"/>
  <c r="D59" i="6"/>
  <c r="C59" i="6"/>
  <c r="J58" i="6"/>
  <c r="I58" i="6"/>
  <c r="H58" i="6"/>
  <c r="G58" i="6"/>
  <c r="F58" i="6"/>
  <c r="E58" i="6"/>
  <c r="D58" i="6"/>
  <c r="C58" i="6"/>
  <c r="J57" i="6"/>
  <c r="I57" i="6"/>
  <c r="H57" i="6"/>
  <c r="G57" i="6"/>
  <c r="F57" i="6"/>
  <c r="E57" i="6"/>
  <c r="D57" i="6"/>
  <c r="C57" i="6"/>
  <c r="J56" i="6"/>
  <c r="I56" i="6"/>
  <c r="H56" i="6"/>
  <c r="G56" i="6"/>
  <c r="F56" i="6"/>
  <c r="E56" i="6"/>
  <c r="D56" i="6"/>
  <c r="C56" i="6"/>
  <c r="J55" i="6"/>
  <c r="I55" i="6"/>
  <c r="H55" i="6"/>
  <c r="G55" i="6"/>
  <c r="F55" i="6"/>
  <c r="E55" i="6"/>
  <c r="D55" i="6"/>
  <c r="C55" i="6"/>
  <c r="J54" i="6"/>
  <c r="I54" i="6"/>
  <c r="H54" i="6"/>
  <c r="G54" i="6"/>
  <c r="F54" i="6"/>
  <c r="E54" i="6"/>
  <c r="D54" i="6"/>
  <c r="C54" i="6"/>
  <c r="J53" i="6"/>
  <c r="I53" i="6"/>
  <c r="H53" i="6"/>
  <c r="G53" i="6"/>
  <c r="F53" i="6"/>
  <c r="E53" i="6"/>
  <c r="D53" i="6"/>
  <c r="D41" i="6"/>
  <c r="C41" i="6"/>
  <c r="B41" i="6"/>
  <c r="D40" i="6"/>
  <c r="C40" i="6"/>
  <c r="B40" i="6"/>
  <c r="D39" i="6"/>
  <c r="C39" i="6"/>
  <c r="B39" i="6"/>
  <c r="D38" i="6"/>
  <c r="C38" i="6"/>
  <c r="B38" i="6"/>
  <c r="D34" i="6"/>
  <c r="C34" i="6"/>
  <c r="B34" i="6"/>
  <c r="D33" i="6"/>
  <c r="C33" i="6"/>
  <c r="B33" i="6"/>
  <c r="D32" i="6"/>
  <c r="C32" i="6"/>
  <c r="B32" i="6"/>
  <c r="D31" i="6"/>
  <c r="C31" i="6"/>
  <c r="B31" i="6"/>
  <c r="F25" i="6" a="1"/>
  <c r="F25" i="6" s="1"/>
  <c r="E25" i="6"/>
  <c r="D25" i="6" a="1"/>
  <c r="D25" i="6" s="1"/>
  <c r="C25" i="6"/>
  <c r="F24" i="6" a="1"/>
  <c r="F24" i="6" s="1"/>
  <c r="E24" i="6"/>
  <c r="D24" i="6" a="1"/>
  <c r="D24" i="6" s="1"/>
  <c r="C24" i="6"/>
  <c r="F23" i="6" a="1"/>
  <c r="F23" i="6" s="1"/>
  <c r="E23" i="6"/>
  <c r="D23" i="6" a="1"/>
  <c r="D23" i="6" s="1"/>
  <c r="C23" i="6"/>
  <c r="F19" i="6" a="1"/>
  <c r="F19" i="6" s="1"/>
  <c r="E19" i="6"/>
  <c r="D19" i="6" a="1"/>
  <c r="D19" i="6" s="1"/>
  <c r="C19" i="6"/>
  <c r="F18" i="6" a="1"/>
  <c r="F18" i="6" s="1"/>
  <c r="E18" i="6"/>
  <c r="D18" i="6" a="1"/>
  <c r="D18" i="6" s="1"/>
  <c r="C18" i="6"/>
  <c r="F17" i="6" a="1"/>
  <c r="F17" i="6" s="1"/>
  <c r="E17" i="6"/>
  <c r="D17" i="6" a="1"/>
  <c r="D17" i="6" s="1"/>
  <c r="C17" i="6"/>
  <c r="F16" i="6" a="1"/>
  <c r="F16" i="6" s="1"/>
  <c r="E16" i="6"/>
  <c r="D16" i="6" a="1"/>
  <c r="D16" i="6" s="1"/>
  <c r="C16" i="6"/>
  <c r="G11" i="6"/>
  <c r="F11" i="6"/>
  <c r="E11" i="6"/>
  <c r="D11" i="6"/>
  <c r="C11" i="6"/>
  <c r="B11" i="6"/>
  <c r="G10" i="6"/>
  <c r="F10" i="6"/>
  <c r="E10" i="6"/>
  <c r="D10" i="6"/>
  <c r="C10" i="6"/>
  <c r="B10" i="6"/>
  <c r="B5" i="6" a="1"/>
  <c r="B5" i="6" s="1"/>
  <c r="B6" i="6" s="1"/>
  <c r="B25" i="6"/>
  <c r="B24" i="6"/>
  <c r="B23" i="6"/>
  <c r="B19" i="6"/>
  <c r="B18" i="6"/>
  <c r="B17" i="6"/>
  <c r="B16" i="6"/>
  <c r="B4" i="6"/>
  <c r="D48" i="6" l="1"/>
  <c r="C48" i="6"/>
  <c r="B48" i="6"/>
  <c r="B45" i="6"/>
  <c r="H24" i="6"/>
  <c r="G24" i="6"/>
  <c r="G19" i="6"/>
  <c r="G17" i="6"/>
  <c r="D47" i="6"/>
  <c r="G23" i="6"/>
  <c r="H19" i="6"/>
  <c r="C12" i="6"/>
  <c r="B12" i="6"/>
  <c r="C45" i="6"/>
  <c r="C46" i="6"/>
  <c r="B47" i="6"/>
  <c r="G25" i="6"/>
  <c r="B46" i="6"/>
  <c r="D46" i="6"/>
  <c r="H25" i="6"/>
  <c r="G16" i="6"/>
  <c r="C47" i="6"/>
  <c r="H16" i="6"/>
  <c r="D45" i="6"/>
  <c r="G18" i="6"/>
  <c r="H23" i="6"/>
  <c r="H18" i="6"/>
  <c r="H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A198B-3B92-4F95-9519-0980210D3A18}" keepAlive="1" name="Query - results_dp" description="Connection to the 'results_dp' query in the workbook." type="5" refreshedVersion="0" background="1" saveData="1">
    <dbPr connection="Provider=Microsoft.Mashup.OleDb.1;Data Source=$Workbook$;Location=results_dp;Extended Properties=&quot;&quot;" command="SELECT * FROM [results_dp]"/>
  </connection>
  <connection id="2" xr16:uid="{400E01AE-CBAC-48D5-A7A0-1DB9C0F47DB0}" keepAlive="1" name="Query - results_gurobi" description="Connection to the 'results_gurobi' query in the workbook." type="5" refreshedVersion="0" background="1" saveData="1">
    <dbPr connection="Provider=Microsoft.Mashup.OleDb.1;Data Source=$Workbook$;Location=results_gurobi;Extended Properties=&quot;&quot;" command="SELECT * FROM [results_gurob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<sst xmlns="http://schemas.openxmlformats.org/spreadsheetml/2006/main" count="6436" uniqueCount="920">
  <si>
    <t>scenario</t>
  </si>
  <si>
    <t>corr_type</t>
  </si>
  <si>
    <t>instance_file</t>
  </si>
  <si>
    <t>n</t>
  </si>
  <si>
    <t>obj_value</t>
  </si>
  <si>
    <t>runtime</t>
  </si>
  <si>
    <t>scenario 1</t>
  </si>
  <si>
    <t>correlated</t>
  </si>
  <si>
    <t>scen_1id_10_objs_1000_size_1550_sets_89_k_18_correlated.txt</t>
  </si>
  <si>
    <t>scen_1id_10_objs_300_size_465_sets_77_k_20_correlated.txt</t>
  </si>
  <si>
    <t>scen_1id_10_objs_500_size_775_sets_83_k_20_correlated.txt</t>
  </si>
  <si>
    <t>scen_1id_10_objs_700_size_1085_sets_91_k_20_correlated.txt</t>
  </si>
  <si>
    <t>scen_1id_10_objs_800_size_1240_sets_94_k_18_correlated.txt</t>
  </si>
  <si>
    <t>scen_1id_1_objs_1000_size_1550_sets_89_k_18_correlated.txt</t>
  </si>
  <si>
    <t>scen_1id_1_objs_300_size_465_sets_74_k_20_correlated.txt</t>
  </si>
  <si>
    <t>scen_1id_1_objs_500_size_775_sets_78_k_20_correlated.txt</t>
  </si>
  <si>
    <t>scen_1id_1_objs_700_size_1085_sets_82_k_20_correlated.txt</t>
  </si>
  <si>
    <t>scen_1id_1_objs_800_size_1240_sets_93_k_18_correlated.txt</t>
  </si>
  <si>
    <t>scen_1id_2_objs_1000_size_1550_sets_96_k_18_correlated.txt</t>
  </si>
  <si>
    <t>scen_1id_2_objs_300_size_465_sets_79_k_20_correlated.txt</t>
  </si>
  <si>
    <t>scen_1id_2_objs_500_size_775_sets_83_k_20_correlated.txt</t>
  </si>
  <si>
    <t>scen_1id_2_objs_700_size_1085_sets_102_k_20_correlated.txt</t>
  </si>
  <si>
    <t>scen_1id_2_objs_800_size_1240_sets_100_k_18_correlated.txt</t>
  </si>
  <si>
    <t>scen_1id_3_objs_1000_size_1550_sets_89_k_18_correlated.txt</t>
  </si>
  <si>
    <t>scen_1id_3_objs_300_size_465_sets_76_k_20_correlated.txt</t>
  </si>
  <si>
    <t>scen_1id_3_objs_500_size_775_sets_84_k_20_correlated.txt</t>
  </si>
  <si>
    <t>scen_1id_3_objs_700_size_1085_sets_86_k_20_correlated.txt</t>
  </si>
  <si>
    <t>scen_1id_3_objs_800_size_1240_sets_92_k_18_correlated.txt</t>
  </si>
  <si>
    <t>scen_1id_4_objs_1000_size_1550_sets_90_k_18_correlated.txt</t>
  </si>
  <si>
    <t>scen_1id_4_objs_300_size_465_sets_78_k_20_correlated.txt</t>
  </si>
  <si>
    <t>scen_1id_4_objs_500_size_775_sets_81_k_20_correlated.txt</t>
  </si>
  <si>
    <t>scen_1id_4_objs_700_size_1085_sets_82_k_20_correlated.txt</t>
  </si>
  <si>
    <t>scen_1id_4_objs_800_size_1240_sets_99_k_18_correlated.txt</t>
  </si>
  <si>
    <t>scen_1id_5_objs_1000_size_1550_sets_84_k_18_correlated.txt</t>
  </si>
  <si>
    <t>scen_1id_5_objs_300_size_465_sets_75_k_20_correlated.txt</t>
  </si>
  <si>
    <t>scen_1id_5_objs_500_size_775_sets_83_k_20_correlated.txt</t>
  </si>
  <si>
    <t>scen_1id_5_objs_700_size_1085_sets_80_k_20_correlated.txt</t>
  </si>
  <si>
    <t>scen_1id_5_objs_800_size_1240_sets_91_k_18_correlated.txt</t>
  </si>
  <si>
    <t>scen_1id_6_objs_1000_size_1550_sets_91_k_18_correlated.txt</t>
  </si>
  <si>
    <t>scen_1id_6_objs_300_size_465_sets_78_k_20_correlated.txt</t>
  </si>
  <si>
    <t>scen_1id_6_objs_500_size_775_sets_87_k_20_correlated.txt</t>
  </si>
  <si>
    <t>scen_1id_6_objs_700_size_1085_sets_92_k_20_correlated.txt</t>
  </si>
  <si>
    <t>scen_1id_6_objs_800_size_1240_sets_87_k_18_correlated.txt</t>
  </si>
  <si>
    <t>scen_1id_7_objs_1000_size_1550_sets_96_k_18_correlated.txt</t>
  </si>
  <si>
    <t>scen_1id_7_objs_300_size_465_sets_78_k_20_correlated.txt</t>
  </si>
  <si>
    <t>scen_1id_7_objs_500_size_775_sets_83_k_20_correlated.txt</t>
  </si>
  <si>
    <t>scen_1id_7_objs_700_size_1085_sets_88_k_20_correlated.txt</t>
  </si>
  <si>
    <t>scen_1id_7_objs_800_size_1240_sets_86_k_18_correlated.txt</t>
  </si>
  <si>
    <t>scen_1id_8_objs_1000_size_1550_sets_93_k_18_correlated.txt</t>
  </si>
  <si>
    <t>scen_1id_8_objs_300_size_465_sets_76_k_20_correlated.txt</t>
  </si>
  <si>
    <t>scen_1id_8_objs_500_size_775_sets_83_k_20_correlated.txt</t>
  </si>
  <si>
    <t>scen_1id_8_objs_700_size_1085_sets_88_k_20_correlated.txt</t>
  </si>
  <si>
    <t>scen_1id_8_objs_800_size_1240_sets_81_k_18_correlated.txt</t>
  </si>
  <si>
    <t>scen_1id_9_objs_1000_size_1550_sets_85_k_18_correlated.txt</t>
  </si>
  <si>
    <t>scen_1id_9_objs_300_size_465_sets_74_k_20_correlated.txt</t>
  </si>
  <si>
    <t>scen_1id_9_objs_500_size_775_sets_82_k_20_correlated.txt</t>
  </si>
  <si>
    <t>scen_1id_9_objs_700_size_1085_sets_90_k_20_correlated.txt</t>
  </si>
  <si>
    <t>scen_1id_9_objs_800_size_1240_sets_96_k_18_correlated.txt</t>
  </si>
  <si>
    <t>fully-correlated</t>
  </si>
  <si>
    <t>scen_1id_10_objs_1000_size_1550_sets_96_k_18_fully-correlated.txt</t>
  </si>
  <si>
    <t>scen_1id_10_objs_300_size_465_sets_73_k_20_fully-correlated.txt</t>
  </si>
  <si>
    <t>scen_1id_10_objs_500_size_775_sets_79_k_20_fully-correlated.txt</t>
  </si>
  <si>
    <t>scen_1id_10_objs_700_size_1085_sets_82_k_20_fully-correlated.txt</t>
  </si>
  <si>
    <t>scen_1id_10_objs_800_size_1240_sets_93_k_18_fully-correlated.txt</t>
  </si>
  <si>
    <t>scen_1id_1_objs_1000_size_1550_sets_88_k_18_fully-correlated.txt</t>
  </si>
  <si>
    <t>scen_1id_1_objs_300_size_465_sets_78_k_20_fully-correlated.txt</t>
  </si>
  <si>
    <t>scen_1id_1_objs_500_size_775_sets_87_k_20_fully-correlated.txt</t>
  </si>
  <si>
    <t>scen_1id_1_objs_700_size_1085_sets_92_k_20_fully-correlated.txt</t>
  </si>
  <si>
    <t>scen_1id_1_objs_800_size_1240_sets_94_k_18_fully-correlated.txt</t>
  </si>
  <si>
    <t>scen_1id_2_objs_1000_size_1550_sets_85_k_18_fully-correlated.txt</t>
  </si>
  <si>
    <t>scen_1id_2_objs_300_size_465_sets_75_k_20_fully-correlated.txt</t>
  </si>
  <si>
    <t>scen_1id_2_objs_500_size_775_sets_85_k_20_fully-correlated.txt</t>
  </si>
  <si>
    <t>scen_1id_2_objs_700_size_1085_sets_84_k_20_fully-correlated.txt</t>
  </si>
  <si>
    <t>scen_1id_2_objs_800_size_1240_sets_81_k_18_fully-correlated.txt</t>
  </si>
  <si>
    <t>scen_1id_3_objs_1000_size_1550_sets_91_k_18_fully-correlated.txt</t>
  </si>
  <si>
    <t>scen_1id_3_objs_300_size_465_sets_78_k_20_fully-correlated.txt</t>
  </si>
  <si>
    <t>scen_1id_3_objs_500_size_775_sets_88_k_20_fully-correlated.txt</t>
  </si>
  <si>
    <t>scen_1id_3_objs_700_size_1085_sets_87_k_20_fully-correlated.txt</t>
  </si>
  <si>
    <t>scen_1id_3_objs_800_size_1240_sets_93_k_18_fully-correlated.txt</t>
  </si>
  <si>
    <t>scen_1id_4_objs_1000_size_1550_sets_113_k_18_fully-correlated.txt</t>
  </si>
  <si>
    <t>scen_1id_4_objs_300_size_465_sets_75_k_20_fully-correlated.txt</t>
  </si>
  <si>
    <t>scen_1id_4_objs_500_size_775_sets_93_k_20_fully-correlated.txt</t>
  </si>
  <si>
    <t>scen_1id_4_objs_700_size_1085_sets_83_k_20_fully-correlated.txt</t>
  </si>
  <si>
    <t>scen_1id_4_objs_800_size_1240_sets_85_k_18_fully-correlated.txt</t>
  </si>
  <si>
    <t>scen_1id_5_objs_1000_size_1550_sets_99_k_18_fully-correlated.txt</t>
  </si>
  <si>
    <t>scen_1id_5_objs_300_size_465_sets_78_k_20_fully-correlated.txt</t>
  </si>
  <si>
    <t>scen_1id_5_objs_500_size_775_sets_79_k_20_fully-correlated.txt</t>
  </si>
  <si>
    <t>scen_1id_5_objs_700_size_1085_sets_92_k_20_fully-correlated.txt</t>
  </si>
  <si>
    <t>scen_1id_5_objs_800_size_1240_sets_86_k_18_fully-correlated.txt</t>
  </si>
  <si>
    <t>scen_1id_6_objs_1000_size_1550_sets_95_k_18_fully-correlated.txt</t>
  </si>
  <si>
    <t>scen_1id_6_objs_300_size_465_sets_75_k_20_fully-correlated.txt</t>
  </si>
  <si>
    <t>scen_1id_6_objs_500_size_775_sets_81_k_20_fully-correlated.txt</t>
  </si>
  <si>
    <t>scen_1id_6_objs_700_size_1085_sets_89_k_20_fully-correlated.txt</t>
  </si>
  <si>
    <t>scen_1id_6_objs_800_size_1240_sets_94_k_18_fully-correlated.txt</t>
  </si>
  <si>
    <t>scen_1id_7_objs_1000_size_1550_sets_96_k_18_fully-correlated.txt</t>
  </si>
  <si>
    <t>scen_1id_7_objs_300_size_465_sets_78_k_20_fully-correlated.txt</t>
  </si>
  <si>
    <t>scen_1id_7_objs_500_size_775_sets_93_k_20_fully-correlated.txt</t>
  </si>
  <si>
    <t>scen_1id_7_objs_700_size_1085_sets_97_k_20_fully-correlated.txt</t>
  </si>
  <si>
    <t>scen_1id_7_objs_800_size_1240_sets_86_k_18_fully-correlated.txt</t>
  </si>
  <si>
    <t>scen_1id_8_objs_1000_size_1550_sets_94_k_18_fully-correlated.txt</t>
  </si>
  <si>
    <t>scen_1id_8_objs_300_size_465_sets_74_k_20_fully-correlated.txt</t>
  </si>
  <si>
    <t>scen_1id_8_objs_500_size_775_sets_83_k_20_fully-correlated.txt</t>
  </si>
  <si>
    <t>scen_1id_8_objs_700_size_1085_sets_94_k_20_fully-correlated.txt</t>
  </si>
  <si>
    <t>scen_1id_8_objs_800_size_1240_sets_87_k_18_fully-correlated.txt</t>
  </si>
  <si>
    <t>scen_1id_9_objs_1000_size_1550_sets_91_k_18_fully-correlated.txt</t>
  </si>
  <si>
    <t>scen_1id_9_objs_300_size_465_sets_72_k_20_fully-correlated.txt</t>
  </si>
  <si>
    <t>scen_1id_9_objs_500_size_775_sets_78_k_20_fully-correlated.txt</t>
  </si>
  <si>
    <t>scen_1id_9_objs_700_size_1085_sets_84_k_20_fully-correlated.txt</t>
  </si>
  <si>
    <t>scen_1id_9_objs_800_size_1240_sets_92_k_18_fully-correlated.txt</t>
  </si>
  <si>
    <t>not-correlated</t>
  </si>
  <si>
    <t>scen_1id_10_objs_1000_size_1550_sets_93_k_18_not-correlated.txt</t>
  </si>
  <si>
    <t>scen_1id_10_objs_300_size_465_sets_78_k_20_not-correlated.txt</t>
  </si>
  <si>
    <t>scen_1id_10_objs_500_size_775_sets_81_k_20_not-correlated.txt</t>
  </si>
  <si>
    <t>scen_1id_10_objs_700_size_1085_sets_89_k_20_not-correlated.txt</t>
  </si>
  <si>
    <t>scen_1id_10_objs_800_size_1240_sets_84_k_18_not-correlated.txt</t>
  </si>
  <si>
    <t>scen_1id_1_objs_1000_size_1550_sets_89_k_18_not-correlated.txt</t>
  </si>
  <si>
    <t>scen_1id_1_objs_300_size_465_sets_76_k_20_not-correlated.txt</t>
  </si>
  <si>
    <t>scen_1id_1_objs_500_size_775_sets_83_k_20_not-correlated.txt</t>
  </si>
  <si>
    <t>scen_1id_1_objs_700_size_1085_sets_91_k_20_not-correlated.txt</t>
  </si>
  <si>
    <t>scen_1id_1_objs_800_size_1240_sets_85_k_18_not-correlated.txt</t>
  </si>
  <si>
    <t>scen_1id_2_objs_1000_size_1550_sets_87_k_18_not-correlated.txt</t>
  </si>
  <si>
    <t>scen_1id_2_objs_300_size_465_sets_74_k_20_not-correlated.txt</t>
  </si>
  <si>
    <t>scen_1id_2_objs_500_size_775_sets_79_k_20_not-correlated.txt</t>
  </si>
  <si>
    <t>scen_1id_2_objs_700_size_1085_sets_80_k_20_not-correlated.txt</t>
  </si>
  <si>
    <t>scen_1id_2_objs_800_size_1240_sets_95_k_18_not-correlated.txt</t>
  </si>
  <si>
    <t>scen_1id_3_objs_1000_size_1550_sets_88_k_18_not-correlated.txt</t>
  </si>
  <si>
    <t>scen_1id_3_objs_300_size_465_sets_74_k_20_not-correlated.txt</t>
  </si>
  <si>
    <t>scen_1id_3_objs_500_size_775_sets_80_k_20_not-correlated.txt</t>
  </si>
  <si>
    <t>scen_1id_3_objs_700_size_1085_sets_84_k_20_not-correlated.txt</t>
  </si>
  <si>
    <t>scen_1id_3_objs_800_size_1240_sets_96_k_18_not-correlated.txt</t>
  </si>
  <si>
    <t>scen_1id_4_objs_1000_size_1550_sets_97_k_18_not-correlated.txt</t>
  </si>
  <si>
    <t>scen_1id_4_objs_300_size_465_sets_77_k_20_not-correlated.txt</t>
  </si>
  <si>
    <t>scen_1id_4_objs_500_size_775_sets_84_k_20_not-correlated.txt</t>
  </si>
  <si>
    <t>scen_1id_4_objs_700_size_1085_sets_86_k_20_not-correlated.txt</t>
  </si>
  <si>
    <t>scen_1id_4_objs_800_size_1240_sets_91_k_18_not-correlated.txt</t>
  </si>
  <si>
    <t>scen_1id_5_objs_1000_size_1550_sets_90_k_18_not-correlated.txt</t>
  </si>
  <si>
    <t>scen_1id_5_objs_300_size_465_sets_78_k_20_not-correlated.txt</t>
  </si>
  <si>
    <t>scen_1id_5_objs_500_size_775_sets_84_k_20_not-correlated.txt</t>
  </si>
  <si>
    <t>scen_1id_5_objs_700_size_1085_sets_86_k_20_not-correlated.txt</t>
  </si>
  <si>
    <t>scen_1id_5_objs_800_size_1240_sets_86_k_18_not-correlated.txt</t>
  </si>
  <si>
    <t>scen_1id_6_objs_1000_size_1550_sets_93_k_18_not-correlated.txt</t>
  </si>
  <si>
    <t>scen_1id_6_objs_300_size_465_sets_79_k_20_not-correlated.txt</t>
  </si>
  <si>
    <t>scen_1id_6_objs_500_size_775_sets_89_k_20_not-correlated.txt</t>
  </si>
  <si>
    <t>scen_1id_6_objs_700_size_1085_sets_84_k_20_not-correlated.txt</t>
  </si>
  <si>
    <t>scen_1id_6_objs_800_size_1240_sets_88_k_18_not-correlated.txt</t>
  </si>
  <si>
    <t>scen_1id_7_objs_1000_size_1550_sets_87_k_18_not-correlated.txt</t>
  </si>
  <si>
    <t>scen_1id_7_objs_300_size_465_sets_73_k_20_not-correlated.txt</t>
  </si>
  <si>
    <t>scen_1id_7_objs_500_size_775_sets_75_k_20_not-correlated.txt</t>
  </si>
  <si>
    <t>scen_1id_7_objs_700_size_1085_sets_86_k_20_not-correlated.txt</t>
  </si>
  <si>
    <t>scen_1id_7_objs_800_size_1240_sets_89_k_18_not-correlated.txt</t>
  </si>
  <si>
    <t>scen_1id_8_objs_1000_size_1550_sets_86_k_18_not-correlated.txt</t>
  </si>
  <si>
    <t>scen_1id_8_objs_300_size_465_sets_77_k_20_not-correlated.txt</t>
  </si>
  <si>
    <t>scen_1id_8_objs_500_size_775_sets_75_k_20_not-correlated.txt</t>
  </si>
  <si>
    <t>scen_1id_8_objs_700_size_1085_sets_84_k_20_not-correlated.txt</t>
  </si>
  <si>
    <t>scen_1id_8_objs_800_size_1240_sets_88_k_18_not-correlated.txt</t>
  </si>
  <si>
    <t>scen_1id_9_objs_1000_size_1550_sets_85_k_18_not-correlated.txt</t>
  </si>
  <si>
    <t>scen_1id_9_objs_300_size_465_sets_72_k_20_not-correlated.txt</t>
  </si>
  <si>
    <t>scen_1id_9_objs_500_size_775_sets_87_k_20_not-correlated.txt</t>
  </si>
  <si>
    <t>scen_1id_9_objs_700_size_1085_sets_93_k_20_not-correlated.txt</t>
  </si>
  <si>
    <t>scen_1id_9_objs_800_size_1240_sets_93_k_18_not-correlated.txt</t>
  </si>
  <si>
    <t>scenario 2</t>
  </si>
  <si>
    <t>scen_2id_10_objs_1000_size_1550_sets_36_k_18_correlated.txt</t>
  </si>
  <si>
    <t>scen_2id_10_objs_300_size_465_sets_33_k_20_correlated.txt</t>
  </si>
  <si>
    <t>scen_2id_10_objs_500_size_775_sets_38_k_20_correlated.txt</t>
  </si>
  <si>
    <t>scen_2id_10_objs_700_size_1085_sets_40_k_20_correlated.txt</t>
  </si>
  <si>
    <t>scen_2id_10_objs_800_size_1240_sets_38_k_18_correlated.txt</t>
  </si>
  <si>
    <t>scen_2id_1_objs_1000_size_1550_sets_40_k_18_correlated.txt</t>
  </si>
  <si>
    <t>scen_2id_1_objs_300_size_465_sets_32_k_20_correlated.txt</t>
  </si>
  <si>
    <t>scen_2id_1_objs_500_size_775_sets_35_k_20_correlated.txt</t>
  </si>
  <si>
    <t>scen_2id_1_objs_700_size_1085_sets_36_k_20_correlated.txt</t>
  </si>
  <si>
    <t>scen_2id_1_objs_800_size_1240_sets_38_k_18_correlated.txt</t>
  </si>
  <si>
    <t>scen_2id_2_objs_1000_size_1550_sets_42_k_18_correlated.txt</t>
  </si>
  <si>
    <t>scen_2id_2_objs_300_size_465_sets_33_k_20_correlated.txt</t>
  </si>
  <si>
    <t>scen_2id_2_objs_500_size_775_sets_40_k_20_correlated.txt</t>
  </si>
  <si>
    <t>scen_2id_2_objs_700_size_1085_sets_44_k_20_correlated.txt</t>
  </si>
  <si>
    <t>scen_2id_2_objs_800_size_1240_sets_47_k_18_correlated.txt</t>
  </si>
  <si>
    <t>scen_2id_3_objs_1000_size_1550_sets_38_k_18_correlated.txt</t>
  </si>
  <si>
    <t>scen_2id_3_objs_300_size_465_sets_37_k_20_correlated.txt</t>
  </si>
  <si>
    <t>scen_2id_3_objs_500_size_775_sets_36_k_20_correlated.txt</t>
  </si>
  <si>
    <t>scen_2id_3_objs_700_size_1085_sets_36_k_20_correlated.txt</t>
  </si>
  <si>
    <t>scen_2id_3_objs_800_size_1240_sets_40_k_18_correlated.txt</t>
  </si>
  <si>
    <t>scen_2id_4_objs_1000_size_1550_sets_41_k_18_correlated.txt</t>
  </si>
  <si>
    <t>scen_2id_4_objs_300_size_465_sets_39_k_20_correlated.txt</t>
  </si>
  <si>
    <t>scen_2id_4_objs_500_size_775_sets_32_k_20_correlated.txt</t>
  </si>
  <si>
    <t>scen_2id_4_objs_700_size_1085_sets_33_k_20_correlated.txt</t>
  </si>
  <si>
    <t>scen_2id_4_objs_800_size_1240_sets_44_k_18_correlated.txt</t>
  </si>
  <si>
    <t>scen_2id_5_objs_1000_size_1550_sets_39_k_18_correlated.txt</t>
  </si>
  <si>
    <t>scen_2id_5_objs_300_size_465_sets_42_k_20_correlated.txt</t>
  </si>
  <si>
    <t>scen_2id_5_objs_500_size_775_sets_36_k_20_correlated.txt</t>
  </si>
  <si>
    <t>scen_2id_5_objs_700_size_1085_sets_36_k_20_correlated.txt</t>
  </si>
  <si>
    <t>scen_2id_5_objs_800_size_1240_sets_43_k_18_correlated.txt</t>
  </si>
  <si>
    <t>scen_2id_6_objs_1000_size_1550_sets_40_k_18_correlated.txt</t>
  </si>
  <si>
    <t>scen_2id_6_objs_300_size_465_sets_39_k_20_correlated.txt</t>
  </si>
  <si>
    <t>scen_2id_6_objs_500_size_775_sets_41_k_20_correlated.txt</t>
  </si>
  <si>
    <t>scen_2id_6_objs_700_size_1085_sets_43_k_20_correlated.txt</t>
  </si>
  <si>
    <t>scen_2id_6_objs_800_size_1240_sets_36_k_18_correlated.txt</t>
  </si>
  <si>
    <t>scen_2id_7_objs_1000_size_1550_sets_44_k_18_correlated.txt</t>
  </si>
  <si>
    <t>scen_2id_7_objs_300_size_465_sets_34_k_20_correlated.txt</t>
  </si>
  <si>
    <t>scen_2id_7_objs_500_size_775_sets_37_k_20_correlated.txt</t>
  </si>
  <si>
    <t>scen_2id_7_objs_700_size_1085_sets_39_k_20_correlated.txt</t>
  </si>
  <si>
    <t>scen_2id_7_objs_800_size_1240_sets_35_k_18_correlated.txt</t>
  </si>
  <si>
    <t>scen_2id_8_objs_1000_size_1550_sets_38_k_18_correlated.txt</t>
  </si>
  <si>
    <t>scen_2id_8_objs_300_size_465_sets_35_k_20_correlated.txt</t>
  </si>
  <si>
    <t>scen_2id_8_objs_500_size_775_sets_36_k_20_correlated.txt</t>
  </si>
  <si>
    <t>scen_2id_8_objs_700_size_1085_sets_35_k_20_correlated.txt</t>
  </si>
  <si>
    <t>scen_2id_8_objs_800_size_1240_sets_38_k_18_correlated.txt</t>
  </si>
  <si>
    <t>scen_2id_9_objs_1000_size_1550_sets_35_k_18_correlated.txt</t>
  </si>
  <si>
    <t>scen_2id_9_objs_300_size_465_sets_34_k_20_correlated.txt</t>
  </si>
  <si>
    <t>scen_2id_9_objs_500_size_775_sets_36_k_20_correlated.txt</t>
  </si>
  <si>
    <t>scen_2id_9_objs_700_size_1085_sets_38_k_20_correlated.txt</t>
  </si>
  <si>
    <t>scen_2id_9_objs_800_size_1240_sets_36_k_18_correlated.txt</t>
  </si>
  <si>
    <t>scen_2id_10_objs_1000_size_1550_sets_41_k_18_fully-correlated.txt</t>
  </si>
  <si>
    <t>scen_2id_10_objs_300_size_465_sets_30_k_20_fully-correlated.txt</t>
  </si>
  <si>
    <t>scen_2id_10_objs_500_size_775_sets_35_k_20_fully-correlated.txt</t>
  </si>
  <si>
    <t>scen_2id_10_objs_700_size_1085_sets_34_k_20_fully-correlated.txt</t>
  </si>
  <si>
    <t>scen_2id_10_objs_800_size_1240_sets_41_k_18_fully-correlated.txt</t>
  </si>
  <si>
    <t>scen_2id_1_objs_1000_size_1550_sets_37_k_18_fully-correlated.txt</t>
  </si>
  <si>
    <t>scen_2id_1_objs_300_size_465_sets_39_k_20_fully-correlated.txt</t>
  </si>
  <si>
    <t>scen_2id_1_objs_500_size_775_sets_40_k_20_fully-correlated.txt</t>
  </si>
  <si>
    <t>scen_2id_1_objs_700_size_1085_sets_36_k_20_fully-correlated.txt</t>
  </si>
  <si>
    <t>scen_2id_1_objs_800_size_1240_sets_41_k_18_fully-correlated.txt</t>
  </si>
  <si>
    <t>scen_2id_2_objs_1000_size_1550_sets_35_k_18_fully-correlated.txt</t>
  </si>
  <si>
    <t>scen_2id_2_objs_300_size_465_sets_34_k_20_fully-correlated.txt</t>
  </si>
  <si>
    <t>scen_2id_2_objs_500_size_775_sets_39_k_20_fully-correlated.txt</t>
  </si>
  <si>
    <t>scen_2id_2_objs_700_size_1085_sets_40_k_20_fully-correlated.txt</t>
  </si>
  <si>
    <t>scen_2id_2_objs_800_size_1240_sets_31_k_18_fully-correlated.txt</t>
  </si>
  <si>
    <t>scen_2id_3_objs_1000_size_1550_sets_42_k_18_fully-correlated.txt</t>
  </si>
  <si>
    <t>scen_2id_3_objs_300_size_465_sets_34_k_20_fully-correlated.txt</t>
  </si>
  <si>
    <t>scen_2id_3_objs_500_size_775_sets_39_k_20_fully-correlated.txt</t>
  </si>
  <si>
    <t>scen_2id_3_objs_700_size_1085_sets_40_k_20_fully-correlated.txt</t>
  </si>
  <si>
    <t>scen_2id_3_objs_800_size_1240_sets_40_k_18_fully-correlated.txt</t>
  </si>
  <si>
    <t>scen_2id_4_objs_1000_size_1550_sets_53_k_18_fully-correlated.txt</t>
  </si>
  <si>
    <t>scen_2id_4_objs_300_size_465_sets_36_k_20_fully-correlated.txt</t>
  </si>
  <si>
    <t>scen_2id_4_objs_500_size_775_sets_44_k_20_fully-correlated.txt</t>
  </si>
  <si>
    <t>scen_2id_4_objs_700_size_1085_sets_33_k_20_fully-correlated.txt</t>
  </si>
  <si>
    <t>scen_2id_4_objs_800_size_1240_sets_38_k_18_fully-correlated.txt</t>
  </si>
  <si>
    <t>scen_2id_5_objs_1000_size_1550_sets_42_k_18_fully-correlated.txt</t>
  </si>
  <si>
    <t>scen_2id_5_objs_300_size_465_sets_38_k_20_fully-correlated.txt</t>
  </si>
  <si>
    <t>scen_2id_5_objs_500_size_775_sets_35_k_20_fully-correlated.txt</t>
  </si>
  <si>
    <t>scen_2id_5_objs_700_size_1085_sets_39_k_20_fully-correlated.txt</t>
  </si>
  <si>
    <t>scen_2id_5_objs_800_size_1240_sets_33_k_18_fully-correlated.txt</t>
  </si>
  <si>
    <t>scen_2id_6_objs_1000_size_1550_sets_41_k_18_fully-correlated.txt</t>
  </si>
  <si>
    <t>scen_2id_6_objs_300_size_465_sets_34_k_20_fully-correlated.txt</t>
  </si>
  <si>
    <t>scen_2id_6_objs_500_size_775_sets_34_k_20_fully-correlated.txt</t>
  </si>
  <si>
    <t>scen_2id_6_objs_700_size_1085_sets_37_k_20_fully-correlated.txt</t>
  </si>
  <si>
    <t>scen_2id_6_objs_800_size_1240_sets_40_k_18_fully-correlated.txt</t>
  </si>
  <si>
    <t>scen_2id_7_objs_1000_size_1550_sets_46_k_18_fully-correlated.txt</t>
  </si>
  <si>
    <t>scen_2id_7_objs_300_size_465_sets_36_k_20_fully-correlated.txt</t>
  </si>
  <si>
    <t>scen_2id_7_objs_500_size_775_sets_45_k_20_fully-correlated.txt</t>
  </si>
  <si>
    <t>scen_2id_7_objs_700_size_1085_sets_44_k_20_fully-correlated.txt</t>
  </si>
  <si>
    <t>scen_2id_7_objs_800_size_1240_sets_36_k_18_fully-correlated.txt</t>
  </si>
  <si>
    <t>scen_2id_8_objs_1000_size_1550_sets_40_k_18_fully-correlated.txt</t>
  </si>
  <si>
    <t>scen_2id_8_objs_300_size_465_sets_34_k_20_fully-correlated.txt</t>
  </si>
  <si>
    <t>scen_2id_8_objs_500_size_775_sets_33_k_20_fully-correlated.txt</t>
  </si>
  <si>
    <t>scen_2id_8_objs_700_size_1085_sets_42_k_20_fully-correlated.txt</t>
  </si>
  <si>
    <t>scen_2id_8_objs_800_size_1240_sets_38_k_18_fully-correlated.txt</t>
  </si>
  <si>
    <t>scen_2id_9_objs_1000_size_1550_sets_40_k_18_fully-correlated.txt</t>
  </si>
  <si>
    <t>scen_2id_9_objs_300_size_465_sets_31_k_20_fully-correlated.txt</t>
  </si>
  <si>
    <t>scen_2id_9_objs_500_size_775_sets_33_k_20_fully-correlated.txt</t>
  </si>
  <si>
    <t>scen_2id_9_objs_700_size_1085_sets_37_k_20_fully-correlated.txt</t>
  </si>
  <si>
    <t>scen_2id_9_objs_800_size_1240_sets_41_k_18_fully-correlated.txt</t>
  </si>
  <si>
    <t>scen_2id_10_objs_1000_size_1550_sets_40_k_18_not-correlated.txt</t>
  </si>
  <si>
    <t>scen_2id_10_objs_300_size_465_sets_35_k_20_not-correlated.txt</t>
  </si>
  <si>
    <t>scen_2id_10_objs_500_size_775_sets_37_k_20_not-correlated.txt</t>
  </si>
  <si>
    <t>scen_2id_10_objs_700_size_1085_sets_39_k_20_not-correlated.txt</t>
  </si>
  <si>
    <t>scen_2id_10_objs_800_size_1240_sets_36_k_18_not-correlated.txt</t>
  </si>
  <si>
    <t>scen_2id_1_objs_1000_size_1550_sets_37_k_18_not-correlated.txt</t>
  </si>
  <si>
    <t>scen_2id_1_objs_300_size_465_sets_35_k_20_not-correlated.txt</t>
  </si>
  <si>
    <t>scen_2id_1_objs_500_size_775_sets_35_k_20_not-correlated.txt</t>
  </si>
  <si>
    <t>scen_2id_1_objs_700_size_1085_sets_46_k_20_not-correlated.txt</t>
  </si>
  <si>
    <t>scen_2id_1_objs_800_size_1240_sets_36_k_18_not-correlated.txt</t>
  </si>
  <si>
    <t>scen_2id_2_objs_1000_size_1550_sets_36_k_18_not-correlated.txt</t>
  </si>
  <si>
    <t>scen_2id_2_objs_300_size_465_sets_36_k_20_not-correlated.txt</t>
  </si>
  <si>
    <t>scen_2id_2_objs_500_size_775_sets_35_k_20_not-correlated.txt</t>
  </si>
  <si>
    <t>scen_2id_2_objs_700_size_1085_sets_37_k_20_not-correlated.txt</t>
  </si>
  <si>
    <t>scen_2id_2_objs_800_size_1240_sets_41_k_18_not-correlated.txt</t>
  </si>
  <si>
    <t>scen_2id_3_objs_1000_size_1550_sets_34_k_18_not-correlated.txt</t>
  </si>
  <si>
    <t>scen_2id_3_objs_300_size_465_sets_35_k_20_not-correlated.txt</t>
  </si>
  <si>
    <t>scen_2id_3_objs_500_size_775_sets_33_k_20_not-correlated.txt</t>
  </si>
  <si>
    <t>scen_2id_3_objs_700_size_1085_sets_38_k_20_not-correlated.txt</t>
  </si>
  <si>
    <t>scen_2id_3_objs_800_size_1240_sets_42_k_18_not-correlated.txt</t>
  </si>
  <si>
    <t>scen_2id_4_objs_1000_size_1550_sets_45_k_18_not-correlated.txt</t>
  </si>
  <si>
    <t>scen_2id_4_objs_300_size_465_sets_35_k_20_not-correlated.txt</t>
  </si>
  <si>
    <t>scen_2id_4_objs_500_size_775_sets_39_k_20_not-correlated.txt</t>
  </si>
  <si>
    <t>scen_2id_4_objs_700_size_1085_sets_35_k_20_not-correlated.txt</t>
  </si>
  <si>
    <t>scen_2id_4_objs_800_size_1240_sets_35_k_18_not-correlated.txt</t>
  </si>
  <si>
    <t>scen_2id_5_objs_1000_size_1550_sets_36_k_18_not-correlated.txt</t>
  </si>
  <si>
    <t>scen_2id_5_objs_300_size_465_sets_40_k_20_not-correlated.txt</t>
  </si>
  <si>
    <t>scen_2id_5_objs_500_size_775_sets_40_k_20_not-correlated.txt</t>
  </si>
  <si>
    <t>scen_2id_5_objs_700_size_1085_sets_36_k_20_not-correlated.txt</t>
  </si>
  <si>
    <t>scen_2id_5_objs_800_size_1240_sets_41_k_18_not-correlated.txt</t>
  </si>
  <si>
    <t>scen_2id_6_objs_1000_size_1550_sets_40_k_18_not-correlated.txt</t>
  </si>
  <si>
    <t>scen_2id_6_objs_300_size_465_sets_38_k_20_not-correlated.txt</t>
  </si>
  <si>
    <t>scen_2id_6_objs_500_size_775_sets_38_k_20_not-correlated.txt</t>
  </si>
  <si>
    <t>scen_2id_6_objs_700_size_1085_sets_35_k_20_not-correlated.txt</t>
  </si>
  <si>
    <t>scen_2id_6_objs_800_size_1240_sets_41_k_18_not-correlated.txt</t>
  </si>
  <si>
    <t>scen_2id_7_objs_1000_size_1550_sets_39_k_18_not-correlated.txt</t>
  </si>
  <si>
    <t>scen_2id_7_objs_300_size_465_sets_33_k_20_not-correlated.txt</t>
  </si>
  <si>
    <t>scen_2id_7_objs_500_size_775_sets_36_k_20_not-correlated.txt</t>
  </si>
  <si>
    <t>scen_2id_7_objs_700_size_1085_sets_38_k_20_not-correlated.txt</t>
  </si>
  <si>
    <t>scen_2id_7_objs_800_size_1240_sets_36_k_18_not-correlated.txt</t>
  </si>
  <si>
    <t>scen_2id_8_objs_1000_size_1550_sets_33_k_18_not-correlated.txt</t>
  </si>
  <si>
    <t>scen_2id_8_objs_300_size_465_sets_37_k_20_not-correlated.txt</t>
  </si>
  <si>
    <t>scen_2id_8_objs_500_size_775_sets_32_k_20_not-correlated.txt</t>
  </si>
  <si>
    <t>scen_2id_8_objs_700_size_1085_sets_36_k_20_not-correlated.txt</t>
  </si>
  <si>
    <t>scen_2id_8_objs_800_size_1240_sets_41_k_18_not-correlated.txt</t>
  </si>
  <si>
    <t>scen_2id_9_objs_1000_size_1550_sets_40_k_18_not-correlated.txt</t>
  </si>
  <si>
    <t>scen_2id_9_objs_300_size_465_sets_33_k_20_not-correlated.txt</t>
  </si>
  <si>
    <t>scen_2id_9_objs_500_size_775_sets_42_k_20_not-correlated.txt</t>
  </si>
  <si>
    <t>scen_2id_9_objs_700_size_1085_sets_42_k_20_not-correlated.txt</t>
  </si>
  <si>
    <t>scen_2id_9_objs_800_size_1240_sets_41_k_18_not-correlated.txt</t>
  </si>
  <si>
    <t>scenario 3</t>
  </si>
  <si>
    <t>scen_3id_10_objs_1000_size_1550_sets_89_k_67_correlated.txt</t>
  </si>
  <si>
    <t>scen_3id_10_objs_300_size_465_sets_77_k_20_correlated.txt</t>
  </si>
  <si>
    <t>scen_3id_10_objs_500_size_775_sets_83_k_33_correlated.txt</t>
  </si>
  <si>
    <t>scen_3id_10_objs_700_size_1085_sets_91_k_47_correlated.txt</t>
  </si>
  <si>
    <t>scen_3id_10_objs_800_size_1240_sets_94_k_53_correlated.txt</t>
  </si>
  <si>
    <t>scen_3id_1_objs_1000_size_1550_sets_89_k_67_correlated.txt</t>
  </si>
  <si>
    <t>scen_3id_1_objs_300_size_465_sets_74_k_20_correlated.txt</t>
  </si>
  <si>
    <t>scen_3id_1_objs_500_size_775_sets_78_k_33_correlated.txt</t>
  </si>
  <si>
    <t>scen_3id_1_objs_700_size_1085_sets_82_k_47_correlated.txt</t>
  </si>
  <si>
    <t>scen_3id_1_objs_800_size_1240_sets_93_k_53_correlated.txt</t>
  </si>
  <si>
    <t>scen_3id_2_objs_1000_size_1550_sets_96_k_67_correlated.txt</t>
  </si>
  <si>
    <t>scen_3id_2_objs_300_size_465_sets_79_k_20_correlated.txt</t>
  </si>
  <si>
    <t>scen_3id_2_objs_500_size_775_sets_83_k_33_correlated.txt</t>
  </si>
  <si>
    <t>scen_3id_2_objs_700_size_1085_sets_102_k_47_correlated.txt</t>
  </si>
  <si>
    <t>scen_3id_2_objs_800_size_1240_sets_100_k_53_correlated.txt</t>
  </si>
  <si>
    <t>scen_3id_3_objs_1000_size_1550_sets_89_k_67_correlated.txt</t>
  </si>
  <si>
    <t>scen_3id_3_objs_300_size_465_sets_76_k_20_correlated.txt</t>
  </si>
  <si>
    <t>scen_3id_3_objs_500_size_775_sets_84_k_33_correlated.txt</t>
  </si>
  <si>
    <t>scen_3id_3_objs_700_size_1085_sets_86_k_47_correlated.txt</t>
  </si>
  <si>
    <t>scen_3id_3_objs_800_size_1240_sets_92_k_53_correlated.txt</t>
  </si>
  <si>
    <t>scen_3id_4_objs_1000_size_1550_sets_90_k_67_correlated.txt</t>
  </si>
  <si>
    <t>scen_3id_4_objs_300_size_465_sets_78_k_20_correlated.txt</t>
  </si>
  <si>
    <t>scen_3id_4_objs_500_size_775_sets_81_k_33_correlated.txt</t>
  </si>
  <si>
    <t>scen_3id_4_objs_700_size_1085_sets_82_k_47_correlated.txt</t>
  </si>
  <si>
    <t>scen_3id_4_objs_800_size_1240_sets_99_k_53_correlated.txt</t>
  </si>
  <si>
    <t>scen_3id_5_objs_1000_size_1550_sets_84_k_67_correlated.txt</t>
  </si>
  <si>
    <t>scen_3id_5_objs_300_size_465_sets_75_k_20_correlated.txt</t>
  </si>
  <si>
    <t>scen_3id_5_objs_500_size_775_sets_83_k_33_correlated.txt</t>
  </si>
  <si>
    <t>scen_3id_5_objs_700_size_1085_sets_80_k_47_correlated.txt</t>
  </si>
  <si>
    <t>scen_3id_5_objs_800_size_1240_sets_91_k_53_correlated.txt</t>
  </si>
  <si>
    <t>scen_3id_6_objs_1000_size_1550_sets_91_k_67_correlated.txt</t>
  </si>
  <si>
    <t>scen_3id_6_objs_300_size_465_sets_78_k_20_correlated.txt</t>
  </si>
  <si>
    <t>scen_3id_6_objs_500_size_775_sets_87_k_33_correlated.txt</t>
  </si>
  <si>
    <t>scen_3id_6_objs_700_size_1085_sets_92_k_47_correlated.txt</t>
  </si>
  <si>
    <t>scen_3id_6_objs_800_size_1240_sets_87_k_53_correlated.txt</t>
  </si>
  <si>
    <t>scen_3id_7_objs_1000_size_1550_sets_96_k_67_correlated.txt</t>
  </si>
  <si>
    <t>scen_3id_7_objs_300_size_465_sets_78_k_20_correlated.txt</t>
  </si>
  <si>
    <t>scen_3id_7_objs_500_size_775_sets_83_k_33_correlated.txt</t>
  </si>
  <si>
    <t>scen_3id_7_objs_700_size_1085_sets_88_k_47_correlated.txt</t>
  </si>
  <si>
    <t>scen_3id_7_objs_800_size_1240_sets_86_k_53_correlated.txt</t>
  </si>
  <si>
    <t>scen_3id_8_objs_1000_size_1550_sets_93_k_67_correlated.txt</t>
  </si>
  <si>
    <t>scen_3id_8_objs_300_size_465_sets_76_k_20_correlated.txt</t>
  </si>
  <si>
    <t>scen_3id_8_objs_500_size_775_sets_83_k_33_correlated.txt</t>
  </si>
  <si>
    <t>scen_3id_8_objs_700_size_1085_sets_88_k_47_correlated.txt</t>
  </si>
  <si>
    <t>scen_3id_8_objs_800_size_1240_sets_81_k_53_correlated.txt</t>
  </si>
  <si>
    <t>scen_3id_9_objs_1000_size_1550_sets_85_k_67_correlated.txt</t>
  </si>
  <si>
    <t>scen_3id_9_objs_300_size_465_sets_74_k_20_correlated.txt</t>
  </si>
  <si>
    <t>scen_3id_9_objs_500_size_775_sets_82_k_33_correlated.txt</t>
  </si>
  <si>
    <t>scen_3id_9_objs_700_size_1085_sets_90_k_47_correlated.txt</t>
  </si>
  <si>
    <t>scen_3id_9_objs_800_size_1240_sets_96_k_53_correlated.txt</t>
  </si>
  <si>
    <t>scen_3id_10_objs_1000_size_1550_sets_96_k_67_fully-correlated.txt</t>
  </si>
  <si>
    <t>scen_3id_10_objs_300_size_465_sets_73_k_20_fully-correlated.txt</t>
  </si>
  <si>
    <t>scen_3id_10_objs_500_size_775_sets_79_k_33_fully-correlated.txt</t>
  </si>
  <si>
    <t>scen_3id_10_objs_700_size_1085_sets_82_k_47_fully-correlated.txt</t>
  </si>
  <si>
    <t>scen_3id_10_objs_800_size_1240_sets_93_k_53_fully-correlated.txt</t>
  </si>
  <si>
    <t>scen_3id_1_objs_1000_size_1550_sets_88_k_67_fully-correlated.txt</t>
  </si>
  <si>
    <t>scen_3id_1_objs_300_size_465_sets_78_k_20_fully-correlated.txt</t>
  </si>
  <si>
    <t>scen_3id_1_objs_500_size_775_sets_87_k_33_fully-correlated.txt</t>
  </si>
  <si>
    <t>scen_3id_1_objs_700_size_1085_sets_92_k_47_fully-correlated.txt</t>
  </si>
  <si>
    <t>scen_3id_1_objs_800_size_1240_sets_94_k_53_fully-correlated.txt</t>
  </si>
  <si>
    <t>scen_3id_2_objs_1000_size_1550_sets_85_k_67_fully-correlated.txt</t>
  </si>
  <si>
    <t>scen_3id_2_objs_300_size_465_sets_75_k_20_fully-correlated.txt</t>
  </si>
  <si>
    <t>scen_3id_2_objs_500_size_775_sets_85_k_33_fully-correlated.txt</t>
  </si>
  <si>
    <t>scen_3id_2_objs_700_size_1085_sets_84_k_47_fully-correlated.txt</t>
  </si>
  <si>
    <t>scen_3id_2_objs_800_size_1240_sets_81_k_53_fully-correlated.txt</t>
  </si>
  <si>
    <t>scen_3id_3_objs_1000_size_1550_sets_91_k_67_fully-correlated.txt</t>
  </si>
  <si>
    <t>scen_3id_3_objs_300_size_465_sets_78_k_20_fully-correlated.txt</t>
  </si>
  <si>
    <t>scen_3id_3_objs_500_size_775_sets_88_k_33_fully-correlated.txt</t>
  </si>
  <si>
    <t>scen_3id_3_objs_700_size_1085_sets_87_k_47_fully-correlated.txt</t>
  </si>
  <si>
    <t>scen_3id_3_objs_800_size_1240_sets_93_k_53_fully-correlated.txt</t>
  </si>
  <si>
    <t>scen_3id_4_objs_1000_size_1550_sets_113_k_67_fully-correlated.txt</t>
  </si>
  <si>
    <t>scen_3id_4_objs_300_size_465_sets_75_k_20_fully-correlated.txt</t>
  </si>
  <si>
    <t>scen_3id_4_objs_500_size_775_sets_93_k_33_fully-correlated.txt</t>
  </si>
  <si>
    <t>scen_3id_4_objs_700_size_1085_sets_83_k_47_fully-correlated.txt</t>
  </si>
  <si>
    <t>scen_3id_4_objs_800_size_1240_sets_85_k_53_fully-correlated.txt</t>
  </si>
  <si>
    <t>scen_3id_5_objs_1000_size_1550_sets_99_k_67_fully-correlated.txt</t>
  </si>
  <si>
    <t>scen_3id_5_objs_300_size_465_sets_78_k_20_fully-correlated.txt</t>
  </si>
  <si>
    <t>scen_3id_5_objs_500_size_775_sets_79_k_33_fully-correlated.txt</t>
  </si>
  <si>
    <t>scen_3id_5_objs_700_size_1085_sets_92_k_47_fully-correlated.txt</t>
  </si>
  <si>
    <t>scen_3id_5_objs_800_size_1240_sets_86_k_53_fully-correlated.txt</t>
  </si>
  <si>
    <t>scen_3id_6_objs_1000_size_1550_sets_95_k_67_fully-correlated.txt</t>
  </si>
  <si>
    <t>scen_3id_6_objs_300_size_465_sets_75_k_20_fully-correlated.txt</t>
  </si>
  <si>
    <t>scen_3id_6_objs_500_size_775_sets_81_k_33_fully-correlated.txt</t>
  </si>
  <si>
    <t>scen_3id_6_objs_700_size_1085_sets_89_k_47_fully-correlated.txt</t>
  </si>
  <si>
    <t>scen_3id_6_objs_800_size_1240_sets_94_k_53_fully-correlated.txt</t>
  </si>
  <si>
    <t>scen_3id_7_objs_1000_size_1550_sets_96_k_67_fully-correlated.txt</t>
  </si>
  <si>
    <t>scen_3id_7_objs_300_size_465_sets_78_k_20_fully-correlated.txt</t>
  </si>
  <si>
    <t>scen_3id_7_objs_500_size_775_sets_93_k_33_fully-correlated.txt</t>
  </si>
  <si>
    <t>scen_3id_7_objs_700_size_1085_sets_97_k_47_fully-correlated.txt</t>
  </si>
  <si>
    <t>scen_3id_7_objs_800_size_1240_sets_86_k_53_fully-correlated.txt</t>
  </si>
  <si>
    <t>scen_3id_8_objs_1000_size_1550_sets_94_k_67_fully-correlated.txt</t>
  </si>
  <si>
    <t>scen_3id_8_objs_300_size_465_sets_74_k_20_fully-correlated.txt</t>
  </si>
  <si>
    <t>scen_3id_8_objs_500_size_775_sets_83_k_33_fully-correlated.txt</t>
  </si>
  <si>
    <t>scen_3id_8_objs_700_size_1085_sets_94_k_47_fully-correlated.txt</t>
  </si>
  <si>
    <t>scen_3id_8_objs_800_size_1240_sets_87_k_53_fully-correlated.txt</t>
  </si>
  <si>
    <t>scen_3id_9_objs_1000_size_1550_sets_91_k_67_fully-correlated.txt</t>
  </si>
  <si>
    <t>scen_3id_9_objs_300_size_465_sets_72_k_20_fully-correlated.txt</t>
  </si>
  <si>
    <t>scen_3id_9_objs_500_size_775_sets_78_k_33_fully-correlated.txt</t>
  </si>
  <si>
    <t>scen_3id_9_objs_700_size_1085_sets_84_k_47_fully-correlated.txt</t>
  </si>
  <si>
    <t>scen_3id_9_objs_800_size_1240_sets_92_k_53_fully-correlated.txt</t>
  </si>
  <si>
    <t>scen_3id_10_objs_1000_size_1550_sets_93_k_67_not-correlated.txt</t>
  </si>
  <si>
    <t>scen_3id_10_objs_300_size_465_sets_78_k_20_not-correlated.txt</t>
  </si>
  <si>
    <t>scen_3id_10_objs_500_size_775_sets_81_k_33_not-correlated.txt</t>
  </si>
  <si>
    <t>scen_3id_10_objs_700_size_1085_sets_89_k_47_not-correlated.txt</t>
  </si>
  <si>
    <t>scen_3id_10_objs_800_size_1240_sets_84_k_53_not-correlated.txt</t>
  </si>
  <si>
    <t>scen_3id_1_objs_1000_size_1550_sets_89_k_67_not-correlated.txt</t>
  </si>
  <si>
    <t>scen_3id_1_objs_300_size_465_sets_76_k_20_not-correlated.txt</t>
  </si>
  <si>
    <t>scen_3id_1_objs_500_size_775_sets_83_k_33_not-correlated.txt</t>
  </si>
  <si>
    <t>scen_3id_1_objs_700_size_1085_sets_91_k_47_not-correlated.txt</t>
  </si>
  <si>
    <t>scen_3id_1_objs_800_size_1240_sets_85_k_53_not-correlated.txt</t>
  </si>
  <si>
    <t>scen_3id_2_objs_1000_size_1550_sets_87_k_67_not-correlated.txt</t>
  </si>
  <si>
    <t>scen_3id_2_objs_300_size_465_sets_74_k_20_not-correlated.txt</t>
  </si>
  <si>
    <t>scen_3id_2_objs_500_size_775_sets_79_k_33_not-correlated.txt</t>
  </si>
  <si>
    <t>scen_3id_2_objs_700_size_1085_sets_80_k_47_not-correlated.txt</t>
  </si>
  <si>
    <t>scen_3id_2_objs_800_size_1240_sets_95_k_53_not-correlated.txt</t>
  </si>
  <si>
    <t>scen_3id_3_objs_1000_size_1550_sets_88_k_67_not-correlated.txt</t>
  </si>
  <si>
    <t>scen_3id_3_objs_300_size_465_sets_74_k_20_not-correlated.txt</t>
  </si>
  <si>
    <t>scen_3id_3_objs_500_size_775_sets_80_k_33_not-correlated.txt</t>
  </si>
  <si>
    <t>scen_3id_3_objs_700_size_1085_sets_84_k_47_not-correlated.txt</t>
  </si>
  <si>
    <t>scen_3id_3_objs_800_size_1240_sets_96_k_53_not-correlated.txt</t>
  </si>
  <si>
    <t>scen_3id_4_objs_1000_size_1550_sets_97_k_67_not-correlated.txt</t>
  </si>
  <si>
    <t>scen_3id_4_objs_300_size_465_sets_77_k_20_not-correlated.txt</t>
  </si>
  <si>
    <t>scen_3id_4_objs_500_size_775_sets_84_k_33_not-correlated.txt</t>
  </si>
  <si>
    <t>scen_3id_4_objs_700_size_1085_sets_86_k_47_not-correlated.txt</t>
  </si>
  <si>
    <t>scen_3id_4_objs_800_size_1240_sets_91_k_53_not-correlated.txt</t>
  </si>
  <si>
    <t>scen_3id_5_objs_1000_size_1550_sets_90_k_67_not-correlated.txt</t>
  </si>
  <si>
    <t>scen_3id_5_objs_300_size_465_sets_78_k_20_not-correlated.txt</t>
  </si>
  <si>
    <t>scen_3id_5_objs_500_size_775_sets_84_k_33_not-correlated.txt</t>
  </si>
  <si>
    <t>scen_3id_5_objs_700_size_1085_sets_86_k_47_not-correlated.txt</t>
  </si>
  <si>
    <t>scen_3id_5_objs_800_size_1240_sets_86_k_53_not-correlated.txt</t>
  </si>
  <si>
    <t>scen_3id_6_objs_1000_size_1550_sets_93_k_67_not-correlated.txt</t>
  </si>
  <si>
    <t>scen_3id_6_objs_300_size_465_sets_79_k_20_not-correlated.txt</t>
  </si>
  <si>
    <t>scen_3id_6_objs_500_size_775_sets_89_k_33_not-correlated.txt</t>
  </si>
  <si>
    <t>scen_3id_6_objs_700_size_1085_sets_84_k_47_not-correlated.txt</t>
  </si>
  <si>
    <t>scen_3id_6_objs_800_size_1240_sets_88_k_53_not-correlated.txt</t>
  </si>
  <si>
    <t>scen_3id_7_objs_1000_size_1550_sets_87_k_67_not-correlated.txt</t>
  </si>
  <si>
    <t>scen_3id_7_objs_300_size_465_sets_73_k_20_not-correlated.txt</t>
  </si>
  <si>
    <t>scen_3id_7_objs_500_size_775_sets_75_k_33_not-correlated.txt</t>
  </si>
  <si>
    <t>scen_3id_7_objs_700_size_1085_sets_86_k_47_not-correlated.txt</t>
  </si>
  <si>
    <t>scen_3id_7_objs_800_size_1240_sets_89_k_53_not-correlated.txt</t>
  </si>
  <si>
    <t>scen_3id_8_objs_1000_size_1550_sets_86_k_67_not-correlated.txt</t>
  </si>
  <si>
    <t>scen_3id_8_objs_300_size_465_sets_77_k_20_not-correlated.txt</t>
  </si>
  <si>
    <t>scen_3id_8_objs_500_size_775_sets_75_k_33_not-correlated.txt</t>
  </si>
  <si>
    <t>scen_3id_8_objs_700_size_1085_sets_84_k_47_not-correlated.txt</t>
  </si>
  <si>
    <t>scen_3id_8_objs_800_size_1240_sets_88_k_53_not-correlated.txt</t>
  </si>
  <si>
    <t>scen_3id_9_objs_1000_size_1550_sets_85_k_67_not-correlated.txt</t>
  </si>
  <si>
    <t>scen_3id_9_objs_300_size_465_sets_72_k_20_not-correlated.txt</t>
  </si>
  <si>
    <t>scen_3id_9_objs_500_size_775_sets_87_k_33_not-correlated.txt</t>
  </si>
  <si>
    <t>scen_3id_9_objs_700_size_1085_sets_93_k_47_not-correlated.txt</t>
  </si>
  <si>
    <t>scen_3id_9_objs_800_size_1240_sets_93_k_53_not-correlated.txt</t>
  </si>
  <si>
    <t>scenario 4</t>
  </si>
  <si>
    <t>scen_4id_10_objs_1000_size_1550_sets_36_k_67_correlated.txt</t>
  </si>
  <si>
    <t>scen_4id_10_objs_300_size_465_sets_33_k_20_correlated.txt</t>
  </si>
  <si>
    <t>scen_4id_10_objs_500_size_775_sets_38_k_33_correlated.txt</t>
  </si>
  <si>
    <t>scen_4id_10_objs_700_size_1085_sets_40_k_47_correlated.txt</t>
  </si>
  <si>
    <t>scen_4id_10_objs_800_size_1240_sets_38_k_53_correlated.txt</t>
  </si>
  <si>
    <t>scen_4id_1_objs_1000_size_1550_sets_40_k_67_correlated.txt</t>
  </si>
  <si>
    <t>scen_4id_1_objs_300_size_465_sets_32_k_20_correlated.txt</t>
  </si>
  <si>
    <t>scen_4id_1_objs_500_size_775_sets_35_k_33_correlated.txt</t>
  </si>
  <si>
    <t>scen_4id_1_objs_700_size_1085_sets_36_k_47_correlated.txt</t>
  </si>
  <si>
    <t>scen_4id_1_objs_800_size_1240_sets_38_k_53_correlated.txt</t>
  </si>
  <si>
    <t>scen_4id_2_objs_1000_size_1550_sets_42_k_67_correlated.txt</t>
  </si>
  <si>
    <t>scen_4id_2_objs_300_size_465_sets_33_k_20_correlated.txt</t>
  </si>
  <si>
    <t>scen_4id_2_objs_500_size_775_sets_40_k_33_correlated.txt</t>
  </si>
  <si>
    <t>scen_4id_2_objs_700_size_1085_sets_44_k_47_correlated.txt</t>
  </si>
  <si>
    <t>scen_4id_2_objs_800_size_1240_sets_47_k_53_correlated.txt</t>
  </si>
  <si>
    <t>scen_4id_3_objs_1000_size_1550_sets_38_k_67_correlated.txt</t>
  </si>
  <si>
    <t>scen_4id_3_objs_300_size_465_sets_37_k_20_correlated.txt</t>
  </si>
  <si>
    <t>scen_4id_3_objs_500_size_775_sets_36_k_33_correlated.txt</t>
  </si>
  <si>
    <t>scen_4id_3_objs_700_size_1085_sets_36_k_47_correlated.txt</t>
  </si>
  <si>
    <t>scen_4id_3_objs_800_size_1240_sets_40_k_53_correlated.txt</t>
  </si>
  <si>
    <t>scen_4id_4_objs_1000_size_1550_sets_41_k_67_correlated.txt</t>
  </si>
  <si>
    <t>scen_4id_4_objs_300_size_465_sets_39_k_20_correlated.txt</t>
  </si>
  <si>
    <t>scen_4id_4_objs_500_size_775_sets_32_k_33_correlated.txt</t>
  </si>
  <si>
    <t>scen_4id_4_objs_700_size_1085_sets_33_k_47_correlated.txt</t>
  </si>
  <si>
    <t>scen_4id_4_objs_800_size_1240_sets_44_k_53_correlated.txt</t>
  </si>
  <si>
    <t>scen_4id_5_objs_1000_size_1550_sets_39_k_67_correlated.txt</t>
  </si>
  <si>
    <t>scen_4id_5_objs_300_size_465_sets_42_k_20_correlated.txt</t>
  </si>
  <si>
    <t>scen_4id_5_objs_500_size_775_sets_36_k_33_correlated.txt</t>
  </si>
  <si>
    <t>scen_4id_5_objs_700_size_1085_sets_36_k_47_correlated.txt</t>
  </si>
  <si>
    <t>scen_4id_5_objs_800_size_1240_sets_43_k_53_correlated.txt</t>
  </si>
  <si>
    <t>scen_4id_6_objs_1000_size_1550_sets_40_k_67_correlated.txt</t>
  </si>
  <si>
    <t>scen_4id_6_objs_300_size_465_sets_39_k_20_correlated.txt</t>
  </si>
  <si>
    <t>scen_4id_6_objs_500_size_775_sets_41_k_33_correlated.txt</t>
  </si>
  <si>
    <t>scen_4id_6_objs_700_size_1085_sets_43_k_47_correlated.txt</t>
  </si>
  <si>
    <t>scen_4id_6_objs_800_size_1240_sets_36_k_53_correlated.txt</t>
  </si>
  <si>
    <t>scen_4id_7_objs_1000_size_1550_sets_44_k_67_correlated.txt</t>
  </si>
  <si>
    <t>scen_4id_7_objs_300_size_465_sets_34_k_20_correlated.txt</t>
  </si>
  <si>
    <t>scen_4id_7_objs_500_size_775_sets_37_k_33_correlated.txt</t>
  </si>
  <si>
    <t>scen_4id_7_objs_700_size_1085_sets_39_k_47_correlated.txt</t>
  </si>
  <si>
    <t>scen_4id_7_objs_800_size_1240_sets_35_k_53_correlated.txt</t>
  </si>
  <si>
    <t>scen_4id_8_objs_1000_size_1550_sets_38_k_67_correlated.txt</t>
  </si>
  <si>
    <t>scen_4id_8_objs_300_size_465_sets_35_k_20_correlated.txt</t>
  </si>
  <si>
    <t>scen_4id_8_objs_500_size_775_sets_36_k_33_correlated.txt</t>
  </si>
  <si>
    <t>scen_4id_8_objs_700_size_1085_sets_35_k_47_correlated.txt</t>
  </si>
  <si>
    <t>scen_4id_8_objs_800_size_1240_sets_38_k_53_correlated.txt</t>
  </si>
  <si>
    <t>scen_4id_9_objs_1000_size_1550_sets_35_k_67_correlated.txt</t>
  </si>
  <si>
    <t>scen_4id_9_objs_300_size_465_sets_34_k_20_correlated.txt</t>
  </si>
  <si>
    <t>scen_4id_9_objs_500_size_775_sets_36_k_33_correlated.txt</t>
  </si>
  <si>
    <t>scen_4id_9_objs_700_size_1085_sets_38_k_47_correlated.txt</t>
  </si>
  <si>
    <t>scen_4id_9_objs_800_size_1240_sets_36_k_53_correlated.txt</t>
  </si>
  <si>
    <t>scen_4id_10_objs_1000_size_1550_sets_41_k_67_fully-correlated.txt</t>
  </si>
  <si>
    <t>scen_4id_10_objs_300_size_465_sets_30_k_20_fully-correlated.txt</t>
  </si>
  <si>
    <t>scen_4id_10_objs_500_size_775_sets_35_k_33_fully-correlated.txt</t>
  </si>
  <si>
    <t>scen_4id_10_objs_700_size_1085_sets_34_k_47_fully-correlated.txt</t>
  </si>
  <si>
    <t>scen_4id_10_objs_800_size_1240_sets_41_k_53_fully-correlated.txt</t>
  </si>
  <si>
    <t>scen_4id_1_objs_1000_size_1550_sets_37_k_67_fully-correlated.txt</t>
  </si>
  <si>
    <t>scen_4id_1_objs_300_size_465_sets_39_k_20_fully-correlated.txt</t>
  </si>
  <si>
    <t>scen_4id_1_objs_500_size_775_sets_40_k_33_fully-correlated.txt</t>
  </si>
  <si>
    <t>scen_4id_1_objs_700_size_1085_sets_36_k_47_fully-correlated.txt</t>
  </si>
  <si>
    <t>scen_4id_1_objs_800_size_1240_sets_41_k_53_fully-correlated.txt</t>
  </si>
  <si>
    <t>scen_4id_2_objs_1000_size_1550_sets_35_k_67_fully-correlated.txt</t>
  </si>
  <si>
    <t>scen_4id_2_objs_300_size_465_sets_34_k_20_fully-correlated.txt</t>
  </si>
  <si>
    <t>scen_4id_2_objs_500_size_775_sets_39_k_33_fully-correlated.txt</t>
  </si>
  <si>
    <t>scen_4id_2_objs_700_size_1085_sets_40_k_47_fully-correlated.txt</t>
  </si>
  <si>
    <t>scen_4id_2_objs_800_size_1240_sets_31_k_53_fully-correlated.txt</t>
  </si>
  <si>
    <t>scen_4id_3_objs_1000_size_1550_sets_42_k_67_fully-correlated.txt</t>
  </si>
  <si>
    <t>scen_4id_3_objs_300_size_465_sets_34_k_20_fully-correlated.txt</t>
  </si>
  <si>
    <t>scen_4id_3_objs_500_size_775_sets_39_k_33_fully-correlated.txt</t>
  </si>
  <si>
    <t>scen_4id_3_objs_700_size_1085_sets_40_k_47_fully-correlated.txt</t>
  </si>
  <si>
    <t>scen_4id_3_objs_800_size_1240_sets_40_k_53_fully-correlated.txt</t>
  </si>
  <si>
    <t>scen_4id_4_objs_1000_size_1550_sets_53_k_67_fully-correlated.txt</t>
  </si>
  <si>
    <t>scen_4id_4_objs_300_size_465_sets_36_k_20_fully-correlated.txt</t>
  </si>
  <si>
    <t>scen_4id_4_objs_500_size_775_sets_44_k_33_fully-correlated.txt</t>
  </si>
  <si>
    <t>scen_4id_4_objs_700_size_1085_sets_33_k_47_fully-correlated.txt</t>
  </si>
  <si>
    <t>scen_4id_4_objs_800_size_1240_sets_38_k_53_fully-correlated.txt</t>
  </si>
  <si>
    <t>scen_4id_5_objs_1000_size_1550_sets_42_k_67_fully-correlated.txt</t>
  </si>
  <si>
    <t>scen_4id_5_objs_300_size_465_sets_38_k_20_fully-correlated.txt</t>
  </si>
  <si>
    <t>scen_4id_5_objs_500_size_775_sets_35_k_33_fully-correlated.txt</t>
  </si>
  <si>
    <t>scen_4id_5_objs_700_size_1085_sets_39_k_47_fully-correlated.txt</t>
  </si>
  <si>
    <t>scen_4id_5_objs_800_size_1240_sets_33_k_53_fully-correlated.txt</t>
  </si>
  <si>
    <t>scen_4id_6_objs_1000_size_1550_sets_41_k_67_fully-correlated.txt</t>
  </si>
  <si>
    <t>scen_4id_6_objs_300_size_465_sets_34_k_20_fully-correlated.txt</t>
  </si>
  <si>
    <t>scen_4id_6_objs_500_size_775_sets_34_k_33_fully-correlated.txt</t>
  </si>
  <si>
    <t>scen_4id_6_objs_700_size_1085_sets_37_k_47_fully-correlated.txt</t>
  </si>
  <si>
    <t>scen_4id_6_objs_800_size_1240_sets_40_k_53_fully-correlated.txt</t>
  </si>
  <si>
    <t>scen_4id_7_objs_1000_size_1550_sets_46_k_67_fully-correlated.txt</t>
  </si>
  <si>
    <t>scen_4id_7_objs_300_size_465_sets_36_k_20_fully-correlated.txt</t>
  </si>
  <si>
    <t>scen_4id_7_objs_500_size_775_sets_45_k_33_fully-correlated.txt</t>
  </si>
  <si>
    <t>scen_4id_7_objs_700_size_1085_sets_44_k_47_fully-correlated.txt</t>
  </si>
  <si>
    <t>scen_4id_7_objs_800_size_1240_sets_36_k_53_fully-correlated.txt</t>
  </si>
  <si>
    <t>scen_4id_8_objs_1000_size_1550_sets_40_k_67_fully-correlated.txt</t>
  </si>
  <si>
    <t>scen_4id_8_objs_300_size_465_sets_34_k_20_fully-correlated.txt</t>
  </si>
  <si>
    <t>scen_4id_8_objs_500_size_775_sets_33_k_33_fully-correlated.txt</t>
  </si>
  <si>
    <t>scen_4id_8_objs_700_size_1085_sets_42_k_47_fully-correlated.txt</t>
  </si>
  <si>
    <t>scen_4id_8_objs_800_size_1240_sets_38_k_53_fully-correlated.txt</t>
  </si>
  <si>
    <t>scen_4id_9_objs_1000_size_1550_sets_40_k_67_fully-correlated.txt</t>
  </si>
  <si>
    <t>scen_4id_9_objs_300_size_465_sets_31_k_20_fully-correlated.txt</t>
  </si>
  <si>
    <t>scen_4id_9_objs_500_size_775_sets_33_k_33_fully-correlated.txt</t>
  </si>
  <si>
    <t>scen_4id_9_objs_700_size_1085_sets_37_k_47_fully-correlated.txt</t>
  </si>
  <si>
    <t>scen_4id_9_objs_800_size_1240_sets_41_k_53_fully-correlated.txt</t>
  </si>
  <si>
    <t>scen_4id_10_objs_1000_size_1550_sets_40_k_67_not-correlated.txt</t>
  </si>
  <si>
    <t>scen_4id_10_objs_300_size_465_sets_35_k_20_not-correlated.txt</t>
  </si>
  <si>
    <t>scen_4id_10_objs_500_size_775_sets_37_k_33_not-correlated.txt</t>
  </si>
  <si>
    <t>scen_4id_10_objs_700_size_1085_sets_39_k_47_not-correlated.txt</t>
  </si>
  <si>
    <t>scen_4id_10_objs_800_size_1240_sets_36_k_53_not-correlated.txt</t>
  </si>
  <si>
    <t>scen_4id_1_objs_1000_size_1550_sets_37_k_67_not-correlated.txt</t>
  </si>
  <si>
    <t>scen_4id_1_objs_300_size_465_sets_35_k_20_not-correlated.txt</t>
  </si>
  <si>
    <t>scen_4id_1_objs_500_size_775_sets_35_k_33_not-correlated.txt</t>
  </si>
  <si>
    <t>scen_4id_1_objs_700_size_1085_sets_46_k_47_not-correlated.txt</t>
  </si>
  <si>
    <t>scen_4id_1_objs_800_size_1240_sets_36_k_53_not-correlated.txt</t>
  </si>
  <si>
    <t>scen_4id_2_objs_1000_size_1550_sets_36_k_67_not-correlated.txt</t>
  </si>
  <si>
    <t>scen_4id_2_objs_300_size_465_sets_36_k_20_not-correlated.txt</t>
  </si>
  <si>
    <t>scen_4id_2_objs_500_size_775_sets_35_k_33_not-correlated.txt</t>
  </si>
  <si>
    <t>scen_4id_2_objs_700_size_1085_sets_37_k_47_not-correlated.txt</t>
  </si>
  <si>
    <t>scen_4id_2_objs_800_size_1240_sets_41_k_53_not-correlated.txt</t>
  </si>
  <si>
    <t>scen_4id_3_objs_1000_size_1550_sets_34_k_67_not-correlated.txt</t>
  </si>
  <si>
    <t>scen_4id_3_objs_300_size_465_sets_35_k_20_not-correlated.txt</t>
  </si>
  <si>
    <t>scen_4id_3_objs_500_size_775_sets_33_k_33_not-correlated.txt</t>
  </si>
  <si>
    <t>scen_4id_3_objs_700_size_1085_sets_38_k_47_not-correlated.txt</t>
  </si>
  <si>
    <t>scen_4id_3_objs_800_size_1240_sets_42_k_53_not-correlated.txt</t>
  </si>
  <si>
    <t>scen_4id_4_objs_1000_size_1550_sets_45_k_67_not-correlated.txt</t>
  </si>
  <si>
    <t>scen_4id_4_objs_300_size_465_sets_35_k_20_not-correlated.txt</t>
  </si>
  <si>
    <t>scen_4id_4_objs_500_size_775_sets_39_k_33_not-correlated.txt</t>
  </si>
  <si>
    <t>scen_4id_4_objs_700_size_1085_sets_35_k_47_not-correlated.txt</t>
  </si>
  <si>
    <t>scen_4id_4_objs_800_size_1240_sets_35_k_53_not-correlated.txt</t>
  </si>
  <si>
    <t>scen_4id_5_objs_1000_size_1550_sets_36_k_67_not-correlated.txt</t>
  </si>
  <si>
    <t>scen_4id_5_objs_300_size_465_sets_40_k_20_not-correlated.txt</t>
  </si>
  <si>
    <t>scen_4id_5_objs_500_size_775_sets_40_k_33_not-correlated.txt</t>
  </si>
  <si>
    <t>scen_4id_5_objs_700_size_1085_sets_36_k_47_not-correlated.txt</t>
  </si>
  <si>
    <t>scen_4id_5_objs_800_size_1240_sets_41_k_53_not-correlated.txt</t>
  </si>
  <si>
    <t>scen_4id_6_objs_1000_size_1550_sets_40_k_67_not-correlated.txt</t>
  </si>
  <si>
    <t>scen_4id_6_objs_300_size_465_sets_38_k_20_not-correlated.txt</t>
  </si>
  <si>
    <t>scen_4id_6_objs_500_size_775_sets_38_k_33_not-correlated.txt</t>
  </si>
  <si>
    <t>scen_4id_6_objs_700_size_1085_sets_35_k_47_not-correlated.txt</t>
  </si>
  <si>
    <t>scen_4id_6_objs_800_size_1240_sets_41_k_53_not-correlated.txt</t>
  </si>
  <si>
    <t>scen_4id_7_objs_1000_size_1550_sets_39_k_67_not-correlated.txt</t>
  </si>
  <si>
    <t>scen_4id_7_objs_300_size_465_sets_33_k_20_not-correlated.txt</t>
  </si>
  <si>
    <t>scen_4id_7_objs_500_size_775_sets_36_k_33_not-correlated.txt</t>
  </si>
  <si>
    <t>scen_4id_7_objs_700_size_1085_sets_38_k_47_not-correlated.txt</t>
  </si>
  <si>
    <t>scen_4id_7_objs_800_size_1240_sets_36_k_53_not-correlated.txt</t>
  </si>
  <si>
    <t>scen_4id_8_objs_1000_size_1550_sets_33_k_67_not-correlated.txt</t>
  </si>
  <si>
    <t>scen_4id_8_objs_300_size_465_sets_37_k_20_not-correlated.txt</t>
  </si>
  <si>
    <t>scen_4id_8_objs_500_size_775_sets_32_k_33_not-correlated.txt</t>
  </si>
  <si>
    <t>scen_4id_8_objs_700_size_1085_sets_36_k_47_not-correlated.txt</t>
  </si>
  <si>
    <t>scen_4id_8_objs_800_size_1240_sets_41_k_53_not-correlated.txt</t>
  </si>
  <si>
    <t>scen_4id_9_objs_1000_size_1550_sets_40_k_67_not-correlated.txt</t>
  </si>
  <si>
    <t>scen_4id_9_objs_300_size_465_sets_33_k_20_not-correlated.txt</t>
  </si>
  <si>
    <t>scen_4id_9_objs_500_size_775_sets_42_k_33_not-correlated.txt</t>
  </si>
  <si>
    <t>scen_4id_9_objs_700_size_1085_sets_42_k_47_not-correlated.txt</t>
  </si>
  <si>
    <t>scen_4id_9_objs_800_size_1240_sets_41_k_53_not-correlated.txt</t>
  </si>
  <si>
    <t>2602.0</t>
  </si>
  <si>
    <t>0.02</t>
  </si>
  <si>
    <t>0.00</t>
  </si>
  <si>
    <t>2175.0</t>
  </si>
  <si>
    <t>2342.0</t>
  </si>
  <si>
    <t>1732.0</t>
  </si>
  <si>
    <t>2085.0</t>
  </si>
  <si>
    <t>2332.0</t>
  </si>
  <si>
    <t>2672.0</t>
  </si>
  <si>
    <t>1258.0</t>
  </si>
  <si>
    <t>1771.0</t>
  </si>
  <si>
    <t>2282.0</t>
  </si>
  <si>
    <t>2402.0</t>
  </si>
  <si>
    <t>2125.0</t>
  </si>
  <si>
    <t>2612.0</t>
  </si>
  <si>
    <t>2392.0</t>
  </si>
  <si>
    <t>2542.0</t>
  </si>
  <si>
    <t>1200.0</t>
  </si>
  <si>
    <t>1778.0</t>
  </si>
  <si>
    <t>2065.0</t>
  </si>
  <si>
    <t>2312.0</t>
  </si>
  <si>
    <t>2622.0</t>
  </si>
  <si>
    <t>2180.0</t>
  </si>
  <si>
    <t>2272.0</t>
  </si>
  <si>
    <t>1779.0</t>
  </si>
  <si>
    <t>2145.0</t>
  </si>
  <si>
    <t>2253.0</t>
  </si>
  <si>
    <t>2642.0</t>
  </si>
  <si>
    <t>1775.0</t>
  </si>
  <si>
    <t>2212.0</t>
  </si>
  <si>
    <t>2562.0</t>
  </si>
  <si>
    <t>2165.0</t>
  </si>
  <si>
    <t>2362.0</t>
  </si>
  <si>
    <t>1682.0</t>
  </si>
  <si>
    <t>2311.0</t>
  </si>
  <si>
    <t>2574.0</t>
  </si>
  <si>
    <t>1756.0</t>
  </si>
  <si>
    <t>2147.0</t>
  </si>
  <si>
    <t>2306.0</t>
  </si>
  <si>
    <t>2544.0</t>
  </si>
  <si>
    <t>1772.0</t>
  </si>
  <si>
    <t>2176.0</t>
  </si>
  <si>
    <t>2604.0</t>
  </si>
  <si>
    <t>1793.0</t>
  </si>
  <si>
    <t>2095.0</t>
  </si>
  <si>
    <t>2296.0</t>
  </si>
  <si>
    <t>2825.0</t>
  </si>
  <si>
    <t>1164.0</t>
  </si>
  <si>
    <t>1833.0</t>
  </si>
  <si>
    <t>2055.0</t>
  </si>
  <si>
    <t>2216.0</t>
  </si>
  <si>
    <t>2684.0</t>
  </si>
  <si>
    <t>1694.0</t>
  </si>
  <si>
    <t>2226.0</t>
  </si>
  <si>
    <t>2644.0</t>
  </si>
  <si>
    <t>1705.0</t>
  </si>
  <si>
    <t>2115.0</t>
  </si>
  <si>
    <t>2654.0</t>
  </si>
  <si>
    <t>1236.4</t>
  </si>
  <si>
    <t>2195.0</t>
  </si>
  <si>
    <t>2233.0</t>
  </si>
  <si>
    <t>1177.0</t>
  </si>
  <si>
    <t>2167.0</t>
  </si>
  <si>
    <t>2254.0</t>
  </si>
  <si>
    <t>1664.0</t>
  </si>
  <si>
    <t>2286.0</t>
  </si>
  <si>
    <t>1495.0</t>
  </si>
  <si>
    <t>2302.5</t>
  </si>
  <si>
    <t>2715.4</t>
  </si>
  <si>
    <t>2307.0</t>
  </si>
  <si>
    <t>1478.0</t>
  </si>
  <si>
    <t>2611.0</t>
  </si>
  <si>
    <t>1706.0</t>
  </si>
  <si>
    <t>2118.0</t>
  </si>
  <si>
    <t>1486.5</t>
  </si>
  <si>
    <t>3029.0</t>
  </si>
  <si>
    <t>1551.5</t>
  </si>
  <si>
    <t>2225.4</t>
  </si>
  <si>
    <t>2670.25</t>
  </si>
  <si>
    <t>1522.5</t>
  </si>
  <si>
    <t>2570.0</t>
  </si>
  <si>
    <t>2818.2</t>
  </si>
  <si>
    <t>1453.4</t>
  </si>
  <si>
    <t>2217.0</t>
  </si>
  <si>
    <t>2839.25</t>
  </si>
  <si>
    <t>2046.0</t>
  </si>
  <si>
    <t>975.0</t>
  </si>
  <si>
    <t>1330.0</t>
  </si>
  <si>
    <t>1665.0</t>
  </si>
  <si>
    <t>1782.0</t>
  </si>
  <si>
    <t>965.0</t>
  </si>
  <si>
    <t>1305.0</t>
  </si>
  <si>
    <t>1616.0</t>
  </si>
  <si>
    <t>1347.0</t>
  </si>
  <si>
    <t>1872.0</t>
  </si>
  <si>
    <t>2092.0</t>
  </si>
  <si>
    <t>1015.0</t>
  </si>
  <si>
    <t>1295.0</t>
  </si>
  <si>
    <t>1802.0</t>
  </si>
  <si>
    <t>1009.7</t>
  </si>
  <si>
    <t>1266.0</t>
  </si>
  <si>
    <t>1842.0</t>
  </si>
  <si>
    <t>1315.0</t>
  </si>
  <si>
    <t>1592.0</t>
  </si>
  <si>
    <t>1832.0</t>
  </si>
  <si>
    <t>1035.0</t>
  </si>
  <si>
    <t>1365.0</t>
  </si>
  <si>
    <t>1695.0</t>
  </si>
  <si>
    <t>1762.0</t>
  </si>
  <si>
    <t>2152.0</t>
  </si>
  <si>
    <t>985.0</t>
  </si>
  <si>
    <t>1655.0</t>
  </si>
  <si>
    <t>1752.0</t>
  </si>
  <si>
    <t>995.0</t>
  </si>
  <si>
    <t>1299.0</t>
  </si>
  <si>
    <t>1610.0</t>
  </si>
  <si>
    <t>1767.0</t>
  </si>
  <si>
    <t>2041.0</t>
  </si>
  <si>
    <t>1645.0</t>
  </si>
  <si>
    <t>2122.0</t>
  </si>
  <si>
    <t>905.0</t>
  </si>
  <si>
    <t>1285.0</t>
  </si>
  <si>
    <t>1605.0</t>
  </si>
  <si>
    <t>1812.0</t>
  </si>
  <si>
    <t>2082.0</t>
  </si>
  <si>
    <t>1335.0</t>
  </si>
  <si>
    <t>1625.0</t>
  </si>
  <si>
    <t>2062.0</t>
  </si>
  <si>
    <t>945.0</t>
  </si>
  <si>
    <t>1325.0</t>
  </si>
  <si>
    <t>1712.0</t>
  </si>
  <si>
    <t>2132.0</t>
  </si>
  <si>
    <t>2242.0</t>
  </si>
  <si>
    <t>1375.0</t>
  </si>
  <si>
    <t>1595.0</t>
  </si>
  <si>
    <t>1275.0</t>
  </si>
  <si>
    <t>1635.0</t>
  </si>
  <si>
    <t>2172.0</t>
  </si>
  <si>
    <t>2112.0</t>
  </si>
  <si>
    <t>1265.0</t>
  </si>
  <si>
    <t>1685.0</t>
  </si>
  <si>
    <t>915.0</t>
  </si>
  <si>
    <t>1618.0</t>
  </si>
  <si>
    <t>1221.0</t>
  </si>
  <si>
    <t>1479.0</t>
  </si>
  <si>
    <t>1638.0</t>
  </si>
  <si>
    <t>1501.0</t>
  </si>
  <si>
    <t>1536.0</t>
  </si>
  <si>
    <t>1454.0</t>
  </si>
  <si>
    <t>1731.0</t>
  </si>
  <si>
    <t>1457.0</t>
  </si>
  <si>
    <t>1487.0</t>
  </si>
  <si>
    <t>1518.0</t>
  </si>
  <si>
    <t>1464.0</t>
  </si>
  <si>
    <t>1197.0</t>
  </si>
  <si>
    <t>1377.0</t>
  </si>
  <si>
    <t>1530.0</t>
  </si>
  <si>
    <t>1663.0</t>
  </si>
  <si>
    <t>1740.0</t>
  </si>
  <si>
    <t>1321.5</t>
  </si>
  <si>
    <t>1462.0</t>
  </si>
  <si>
    <t>1480.0</t>
  </si>
  <si>
    <t>1459.0</t>
  </si>
  <si>
    <t>1278.0</t>
  </si>
  <si>
    <t>1475.0</t>
  </si>
  <si>
    <t>1596.0</t>
  </si>
  <si>
    <t>1612.0</t>
  </si>
  <si>
    <t>1472.0</t>
  </si>
  <si>
    <t>1573.0</t>
  </si>
  <si>
    <t>1400.0</t>
  </si>
  <si>
    <t>1540.0</t>
  </si>
  <si>
    <t>1466.0</t>
  </si>
  <si>
    <t>1404.0</t>
  </si>
  <si>
    <t>1525.0</t>
  </si>
  <si>
    <t>1578.0</t>
  </si>
  <si>
    <t>4257.5</t>
  </si>
  <si>
    <t>2137.0</t>
  </si>
  <si>
    <t>3020.0</t>
  </si>
  <si>
    <t>4424.0</t>
  </si>
  <si>
    <t>3420.5</t>
  </si>
  <si>
    <t>1380.0</t>
  </si>
  <si>
    <t>4435.25</t>
  </si>
  <si>
    <t>3056.5</t>
  </si>
  <si>
    <t>3586.0</t>
  </si>
  <si>
    <t>4445.0</t>
  </si>
  <si>
    <t>1290.0</t>
  </si>
  <si>
    <t>3333.0</t>
  </si>
  <si>
    <t>4412.5</t>
  </si>
  <si>
    <t>3142.5</t>
  </si>
  <si>
    <t>3540.0</t>
  </si>
  <si>
    <t>2932.2</t>
  </si>
  <si>
    <t>4300.0</t>
  </si>
  <si>
    <t>1254.0</t>
  </si>
  <si>
    <t>2081.0</t>
  </si>
  <si>
    <t>2106.0</t>
  </si>
  <si>
    <t>3094.0</t>
  </si>
  <si>
    <t>3482.75</t>
  </si>
  <si>
    <t>3110.5</t>
  </si>
  <si>
    <t>3512.0</t>
  </si>
  <si>
    <t>2093.0</t>
  </si>
  <si>
    <t>3658.5</t>
  </si>
  <si>
    <t>3433.0</t>
  </si>
  <si>
    <t>1590.0</t>
  </si>
  <si>
    <t>3665.0</t>
  </si>
  <si>
    <t>2587.0</t>
  </si>
  <si>
    <t>3542.3</t>
  </si>
  <si>
    <t>5060.8</t>
  </si>
  <si>
    <t>1606.5</t>
  </si>
  <si>
    <t>3546.0</t>
  </si>
  <si>
    <t>5263.0</t>
  </si>
  <si>
    <t>2441.2</t>
  </si>
  <si>
    <t>4999.25</t>
  </si>
  <si>
    <t>2572.1</t>
  </si>
  <si>
    <t>3632.5</t>
  </si>
  <si>
    <t>4018.75</t>
  </si>
  <si>
    <t>2557.8</t>
  </si>
  <si>
    <t>4030.0</t>
  </si>
  <si>
    <t>5337.75</t>
  </si>
  <si>
    <t>2688.1</t>
  </si>
  <si>
    <t>1600.8</t>
  </si>
  <si>
    <t>2506.75</t>
  </si>
  <si>
    <t>2984.3</t>
  </si>
  <si>
    <t>4460.0</t>
  </si>
  <si>
    <t>3221.0</t>
  </si>
  <si>
    <t>2150.0</t>
  </si>
  <si>
    <t>2996.5</t>
  </si>
  <si>
    <t>3539.5</t>
  </si>
  <si>
    <t>2354.0</t>
  </si>
  <si>
    <t>3047.5</t>
  </si>
  <si>
    <t>2111.5</t>
  </si>
  <si>
    <t>3037.0</t>
  </si>
  <si>
    <t>3172.5</t>
  </si>
  <si>
    <t>3426.0</t>
  </si>
  <si>
    <t>3493.0</t>
  </si>
  <si>
    <t>4372.5</t>
  </si>
  <si>
    <t>1306.0</t>
  </si>
  <si>
    <t>3218.0</t>
  </si>
  <si>
    <t>3109.0</t>
  </si>
  <si>
    <t>4238.0</t>
  </si>
  <si>
    <t>2142.5</t>
  </si>
  <si>
    <t>4409.0</t>
  </si>
  <si>
    <t>1264.0</t>
  </si>
  <si>
    <t>4389.9</t>
  </si>
  <si>
    <t>1390.0</t>
  </si>
  <si>
    <t>2241.0</t>
  </si>
  <si>
    <t>3485.5</t>
  </si>
  <si>
    <t>2090.75</t>
  </si>
  <si>
    <t>3141.0</t>
  </si>
  <si>
    <t>5386.4</t>
  </si>
  <si>
    <t>3532.4</t>
  </si>
  <si>
    <t>4874.5</t>
  </si>
  <si>
    <t>1610.25</t>
  </si>
  <si>
    <t>2717.0</t>
  </si>
  <si>
    <t>3585.6</t>
  </si>
  <si>
    <t>4755.0</t>
  </si>
  <si>
    <t>1547.75</t>
  </si>
  <si>
    <t>2594.7</t>
  </si>
  <si>
    <t>3780.3</t>
  </si>
  <si>
    <t>5258.0</t>
  </si>
  <si>
    <t>3618.0</t>
  </si>
  <si>
    <t>5374.0</t>
  </si>
  <si>
    <t>DP vs Gurobi — Comparison Analysis</t>
  </si>
  <si>
    <t>1. OBJECTIVE VALUE CHECK</t>
  </si>
  <si>
    <t>Total instances compared:</t>
  </si>
  <si>
    <t>Mismatches found:</t>
  </si>
  <si>
    <t>Verdict:</t>
  </si>
  <si>
    <t>2. OVERALL RUNTIME COMPARISON</t>
  </si>
  <si>
    <t>Solver</t>
  </si>
  <si>
    <t>Mean (s)</t>
  </si>
  <si>
    <t>Median (s)</t>
  </si>
  <si>
    <t>Std Dev (s)</t>
  </si>
  <si>
    <t>Min (s)</t>
  </si>
  <si>
    <t>Max (s)</t>
  </si>
  <si>
    <t>N</t>
  </si>
  <si>
    <t>DP</t>
  </si>
  <si>
    <t>Gurobi</t>
  </si>
  <si>
    <t>Speedup (DP/Gurobi)</t>
  </si>
  <si>
    <t>3. RUNTIME BY SCENARIO</t>
  </si>
  <si>
    <t>Scenario</t>
  </si>
  <si>
    <t>Count</t>
  </si>
  <si>
    <t>DP Mean (s)</t>
  </si>
  <si>
    <t>DP Median (s)</t>
  </si>
  <si>
    <t>Gurobi Mean (s)</t>
  </si>
  <si>
    <t>Gurobi Median (s)</t>
  </si>
  <si>
    <t>Speedup Mean</t>
  </si>
  <si>
    <t>Speedup Median</t>
  </si>
  <si>
    <t>4. RUNTIME BY CORRELATION TYPE</t>
  </si>
  <si>
    <t>Correlation Type</t>
  </si>
  <si>
    <t>5. RUNTIME BY SCENARIO × CORRELATION TYPE</t>
  </si>
  <si>
    <t>DP Mean Runtime (s)</t>
  </si>
  <si>
    <t>Gurobi Mean Runtime (s)</t>
  </si>
  <si>
    <t>6. TABLE 3.1: Running time (s) DP algorithm vs Gurobi</t>
  </si>
  <si>
    <t>Inst. group</t>
  </si>
  <si>
    <t>Scenario 1</t>
  </si>
  <si>
    <t>Scenario 2</t>
  </si>
  <si>
    <t>Scenario 3</t>
  </si>
  <si>
    <t>Scenario 4</t>
  </si>
  <si>
    <t>corr_type_full</t>
  </si>
  <si>
    <t>s1</t>
  </si>
  <si>
    <t>s2</t>
  </si>
  <si>
    <t>s3</t>
  </si>
  <si>
    <t>s4</t>
  </si>
  <si>
    <t>Type</t>
  </si>
  <si>
    <t>Helper →</t>
  </si>
  <si>
    <t>NC</t>
  </si>
  <si>
    <t>C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</si>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</sst>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&quot;x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sz val="11"/>
      <color rgb="FF999999"/>
      <name val="Aptos Narrow"/>
      <family val="2"/>
      <scheme val="minor"/>
    </font>
    <font>
      <i/>
      <sz val="11"/>
      <color rgb="FF999999"/>
      <name val="Aptos Narrow"/>
      <family val="2"/>
      <scheme val="minor"/>
    </font>
    <font>
      <b/>
      <i/>
      <sz val="11"/>
      <color rgb="FF99999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E9EF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6" fontId="5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6" fillId="0" borderId="0" xfId="0" applyFont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6EE73D-ED62-483C-B708-168B9577598D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333176b9-2761-4e38-b423-10a23d95dc1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1FE7-8433-400A-BFB0-02715306BF66}">
  <sheetPr filterMode="1"/>
  <dimension ref="A1:F601"/>
  <sheetViews>
    <sheetView workbookViewId="0">
      <selection activeCell="C367" sqref="C36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92.7109375" bestFit="1" customWidth="1"/>
    <col min="4" max="4" width="9.42578125" bestFit="1" customWidth="1"/>
    <col min="5" max="5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  <c r="C2" t="s">
        <v>8</v>
      </c>
      <c r="D2">
        <v>1000</v>
      </c>
      <c r="E2">
        <v>2602</v>
      </c>
      <c r="F2">
        <v>4.32</v>
      </c>
    </row>
    <row r="3" spans="1:6" hidden="1" x14ac:dyDescent="0.25">
      <c r="A3" t="s">
        <v>6</v>
      </c>
      <c r="B3" t="s">
        <v>7</v>
      </c>
      <c r="C3" t="s">
        <v>9</v>
      </c>
      <c r="D3">
        <v>300</v>
      </c>
      <c r="E3">
        <v>1271</v>
      </c>
      <c r="F3">
        <v>7.0000000000000007E-2</v>
      </c>
    </row>
    <row r="4" spans="1:6" hidden="1" x14ac:dyDescent="0.25">
      <c r="A4" t="s">
        <v>6</v>
      </c>
      <c r="B4" t="s">
        <v>7</v>
      </c>
      <c r="C4" t="s">
        <v>10</v>
      </c>
      <c r="D4">
        <v>500</v>
      </c>
      <c r="E4">
        <v>1767</v>
      </c>
      <c r="F4">
        <v>0.42</v>
      </c>
    </row>
    <row r="5" spans="1:6" hidden="1" x14ac:dyDescent="0.25">
      <c r="A5" t="s">
        <v>6</v>
      </c>
      <c r="B5" t="s">
        <v>7</v>
      </c>
      <c r="C5" t="s">
        <v>11</v>
      </c>
      <c r="D5">
        <v>700</v>
      </c>
      <c r="E5">
        <v>2175</v>
      </c>
      <c r="F5">
        <v>1.52</v>
      </c>
    </row>
    <row r="6" spans="1:6" hidden="1" x14ac:dyDescent="0.25">
      <c r="A6" t="s">
        <v>6</v>
      </c>
      <c r="B6" t="s">
        <v>7</v>
      </c>
      <c r="C6" t="s">
        <v>12</v>
      </c>
      <c r="D6">
        <v>800</v>
      </c>
      <c r="E6">
        <v>2342</v>
      </c>
      <c r="F6">
        <v>2.04</v>
      </c>
    </row>
    <row r="7" spans="1:6" hidden="1" x14ac:dyDescent="0.25">
      <c r="A7" t="s">
        <v>6</v>
      </c>
      <c r="B7" t="s">
        <v>7</v>
      </c>
      <c r="C7" t="s">
        <v>13</v>
      </c>
      <c r="D7">
        <v>1000</v>
      </c>
      <c r="E7">
        <v>2602</v>
      </c>
      <c r="F7">
        <v>4.07</v>
      </c>
    </row>
    <row r="8" spans="1:6" hidden="1" x14ac:dyDescent="0.25">
      <c r="A8" t="s">
        <v>6</v>
      </c>
      <c r="B8" t="s">
        <v>7</v>
      </c>
      <c r="C8" t="s">
        <v>14</v>
      </c>
      <c r="D8">
        <v>300</v>
      </c>
      <c r="E8">
        <v>1174</v>
      </c>
      <c r="F8">
        <v>7.0000000000000007E-2</v>
      </c>
    </row>
    <row r="9" spans="1:6" hidden="1" x14ac:dyDescent="0.25">
      <c r="A9" t="s">
        <v>6</v>
      </c>
      <c r="B9" t="s">
        <v>7</v>
      </c>
      <c r="C9" t="s">
        <v>15</v>
      </c>
      <c r="D9">
        <v>500</v>
      </c>
      <c r="E9">
        <v>1732</v>
      </c>
      <c r="F9">
        <v>0.46</v>
      </c>
    </row>
    <row r="10" spans="1:6" hidden="1" x14ac:dyDescent="0.25">
      <c r="A10" t="s">
        <v>6</v>
      </c>
      <c r="B10" t="s">
        <v>7</v>
      </c>
      <c r="C10" t="s">
        <v>16</v>
      </c>
      <c r="D10">
        <v>700</v>
      </c>
      <c r="E10">
        <v>2085</v>
      </c>
      <c r="F10">
        <v>1.49</v>
      </c>
    </row>
    <row r="11" spans="1:6" hidden="1" x14ac:dyDescent="0.25">
      <c r="A11" t="s">
        <v>6</v>
      </c>
      <c r="B11" t="s">
        <v>7</v>
      </c>
      <c r="C11" t="s">
        <v>17</v>
      </c>
      <c r="D11">
        <v>800</v>
      </c>
      <c r="E11">
        <v>2332</v>
      </c>
      <c r="F11">
        <v>2.09</v>
      </c>
    </row>
    <row r="12" spans="1:6" hidden="1" x14ac:dyDescent="0.25">
      <c r="A12" t="s">
        <v>6</v>
      </c>
      <c r="B12" t="s">
        <v>7</v>
      </c>
      <c r="C12" t="s">
        <v>18</v>
      </c>
      <c r="D12">
        <v>1000</v>
      </c>
      <c r="E12">
        <v>2672</v>
      </c>
      <c r="F12">
        <v>3.93</v>
      </c>
    </row>
    <row r="13" spans="1:6" hidden="1" x14ac:dyDescent="0.25">
      <c r="A13" t="s">
        <v>6</v>
      </c>
      <c r="B13" t="s">
        <v>7</v>
      </c>
      <c r="C13" t="s">
        <v>19</v>
      </c>
      <c r="D13">
        <v>300</v>
      </c>
      <c r="E13">
        <v>1258</v>
      </c>
      <c r="F13">
        <v>7.0000000000000007E-2</v>
      </c>
    </row>
    <row r="14" spans="1:6" hidden="1" x14ac:dyDescent="0.25">
      <c r="A14" t="s">
        <v>6</v>
      </c>
      <c r="B14" t="s">
        <v>7</v>
      </c>
      <c r="C14" t="s">
        <v>20</v>
      </c>
      <c r="D14">
        <v>500</v>
      </c>
      <c r="E14">
        <v>1771</v>
      </c>
      <c r="F14">
        <v>0.47</v>
      </c>
    </row>
    <row r="15" spans="1:6" hidden="1" x14ac:dyDescent="0.25">
      <c r="A15" t="s">
        <v>6</v>
      </c>
      <c r="B15" t="s">
        <v>7</v>
      </c>
      <c r="C15" t="s">
        <v>21</v>
      </c>
      <c r="D15">
        <v>700</v>
      </c>
      <c r="E15">
        <v>2282</v>
      </c>
      <c r="F15">
        <v>1.31</v>
      </c>
    </row>
    <row r="16" spans="1:6" hidden="1" x14ac:dyDescent="0.25">
      <c r="A16" t="s">
        <v>6</v>
      </c>
      <c r="B16" t="s">
        <v>7</v>
      </c>
      <c r="C16" t="s">
        <v>22</v>
      </c>
      <c r="D16">
        <v>800</v>
      </c>
      <c r="E16">
        <v>2402</v>
      </c>
      <c r="F16">
        <v>2.34</v>
      </c>
    </row>
    <row r="17" spans="1:6" hidden="1" x14ac:dyDescent="0.25">
      <c r="A17" t="s">
        <v>6</v>
      </c>
      <c r="B17" t="s">
        <v>7</v>
      </c>
      <c r="C17" t="s">
        <v>23</v>
      </c>
      <c r="D17">
        <v>1000</v>
      </c>
      <c r="E17">
        <v>2602</v>
      </c>
      <c r="F17">
        <v>5.4</v>
      </c>
    </row>
    <row r="18" spans="1:6" hidden="1" x14ac:dyDescent="0.25">
      <c r="A18" t="s">
        <v>6</v>
      </c>
      <c r="B18" t="s">
        <v>7</v>
      </c>
      <c r="C18" t="s">
        <v>24</v>
      </c>
      <c r="D18">
        <v>300</v>
      </c>
      <c r="E18">
        <v>1215</v>
      </c>
      <c r="F18">
        <v>0.08</v>
      </c>
    </row>
    <row r="19" spans="1:6" hidden="1" x14ac:dyDescent="0.25">
      <c r="A19" t="s">
        <v>6</v>
      </c>
      <c r="B19" t="s">
        <v>7</v>
      </c>
      <c r="C19" t="s">
        <v>25</v>
      </c>
      <c r="D19">
        <v>500</v>
      </c>
      <c r="E19">
        <v>1776</v>
      </c>
      <c r="F19">
        <v>0.47</v>
      </c>
    </row>
    <row r="20" spans="1:6" hidden="1" x14ac:dyDescent="0.25">
      <c r="A20" t="s">
        <v>6</v>
      </c>
      <c r="B20" t="s">
        <v>7</v>
      </c>
      <c r="C20" t="s">
        <v>26</v>
      </c>
      <c r="D20">
        <v>700</v>
      </c>
      <c r="E20">
        <v>2125</v>
      </c>
      <c r="F20">
        <v>1.73</v>
      </c>
    </row>
    <row r="21" spans="1:6" hidden="1" x14ac:dyDescent="0.25">
      <c r="A21" t="s">
        <v>6</v>
      </c>
      <c r="B21" t="s">
        <v>7</v>
      </c>
      <c r="C21" t="s">
        <v>27</v>
      </c>
      <c r="D21">
        <v>800</v>
      </c>
      <c r="E21">
        <v>2317</v>
      </c>
      <c r="F21">
        <v>2.4900000000000002</v>
      </c>
    </row>
    <row r="22" spans="1:6" hidden="1" x14ac:dyDescent="0.25">
      <c r="A22" t="s">
        <v>6</v>
      </c>
      <c r="B22" t="s">
        <v>7</v>
      </c>
      <c r="C22" t="s">
        <v>28</v>
      </c>
      <c r="D22">
        <v>1000</v>
      </c>
      <c r="E22">
        <v>2612</v>
      </c>
      <c r="F22">
        <v>5.03</v>
      </c>
    </row>
    <row r="23" spans="1:6" hidden="1" x14ac:dyDescent="0.25">
      <c r="A23" t="s">
        <v>6</v>
      </c>
      <c r="B23" t="s">
        <v>7</v>
      </c>
      <c r="C23" t="s">
        <v>29</v>
      </c>
      <c r="D23">
        <v>300</v>
      </c>
      <c r="E23">
        <v>1201</v>
      </c>
      <c r="F23">
        <v>7.0000000000000007E-2</v>
      </c>
    </row>
    <row r="24" spans="1:6" hidden="1" x14ac:dyDescent="0.25">
      <c r="A24" t="s">
        <v>6</v>
      </c>
      <c r="B24" t="s">
        <v>7</v>
      </c>
      <c r="C24" t="s">
        <v>30</v>
      </c>
      <c r="D24">
        <v>500</v>
      </c>
      <c r="E24">
        <v>1756</v>
      </c>
      <c r="F24">
        <v>0.64</v>
      </c>
    </row>
    <row r="25" spans="1:6" hidden="1" x14ac:dyDescent="0.25">
      <c r="A25" t="s">
        <v>6</v>
      </c>
      <c r="B25" t="s">
        <v>7</v>
      </c>
      <c r="C25" t="s">
        <v>31</v>
      </c>
      <c r="D25">
        <v>700</v>
      </c>
      <c r="E25">
        <v>2085</v>
      </c>
      <c r="F25">
        <v>1.86</v>
      </c>
    </row>
    <row r="26" spans="1:6" hidden="1" x14ac:dyDescent="0.25">
      <c r="A26" t="s">
        <v>6</v>
      </c>
      <c r="B26" t="s">
        <v>7</v>
      </c>
      <c r="C26" t="s">
        <v>32</v>
      </c>
      <c r="D26">
        <v>800</v>
      </c>
      <c r="E26">
        <v>2392</v>
      </c>
      <c r="F26">
        <v>2.29</v>
      </c>
    </row>
    <row r="27" spans="1:6" hidden="1" x14ac:dyDescent="0.25">
      <c r="A27" t="s">
        <v>6</v>
      </c>
      <c r="B27" t="s">
        <v>7</v>
      </c>
      <c r="C27" t="s">
        <v>33</v>
      </c>
      <c r="D27">
        <v>1000</v>
      </c>
      <c r="E27">
        <v>2542</v>
      </c>
      <c r="F27">
        <v>5.23</v>
      </c>
    </row>
    <row r="28" spans="1:6" hidden="1" x14ac:dyDescent="0.25">
      <c r="A28" t="s">
        <v>6</v>
      </c>
      <c r="B28" t="s">
        <v>7</v>
      </c>
      <c r="C28" t="s">
        <v>34</v>
      </c>
      <c r="D28">
        <v>300</v>
      </c>
      <c r="E28">
        <v>1199</v>
      </c>
      <c r="F28">
        <v>7.0000000000000007E-2</v>
      </c>
    </row>
    <row r="29" spans="1:6" hidden="1" x14ac:dyDescent="0.25">
      <c r="A29" t="s">
        <v>6</v>
      </c>
      <c r="B29" t="s">
        <v>7</v>
      </c>
      <c r="C29" t="s">
        <v>35</v>
      </c>
      <c r="D29">
        <v>500</v>
      </c>
      <c r="E29">
        <v>1778</v>
      </c>
      <c r="F29">
        <v>0.48</v>
      </c>
    </row>
    <row r="30" spans="1:6" hidden="1" x14ac:dyDescent="0.25">
      <c r="A30" t="s">
        <v>6</v>
      </c>
      <c r="B30" t="s">
        <v>7</v>
      </c>
      <c r="C30" t="s">
        <v>36</v>
      </c>
      <c r="D30">
        <v>700</v>
      </c>
      <c r="E30">
        <v>2065</v>
      </c>
      <c r="F30">
        <v>1.74</v>
      </c>
    </row>
    <row r="31" spans="1:6" hidden="1" x14ac:dyDescent="0.25">
      <c r="A31" t="s">
        <v>6</v>
      </c>
      <c r="B31" t="s">
        <v>7</v>
      </c>
      <c r="C31" t="s">
        <v>37</v>
      </c>
      <c r="D31">
        <v>800</v>
      </c>
      <c r="E31">
        <v>2312</v>
      </c>
      <c r="F31">
        <v>2.2999999999999998</v>
      </c>
    </row>
    <row r="32" spans="1:6" hidden="1" x14ac:dyDescent="0.25">
      <c r="A32" t="s">
        <v>6</v>
      </c>
      <c r="B32" t="s">
        <v>7</v>
      </c>
      <c r="C32" t="s">
        <v>38</v>
      </c>
      <c r="D32">
        <v>1000</v>
      </c>
      <c r="E32">
        <v>2622</v>
      </c>
      <c r="F32">
        <v>5.05</v>
      </c>
    </row>
    <row r="33" spans="1:6" hidden="1" x14ac:dyDescent="0.25">
      <c r="A33" t="s">
        <v>6</v>
      </c>
      <c r="B33" t="s">
        <v>7</v>
      </c>
      <c r="C33" t="s">
        <v>39</v>
      </c>
      <c r="D33">
        <v>300</v>
      </c>
      <c r="E33">
        <v>1208</v>
      </c>
      <c r="F33">
        <v>0.08</v>
      </c>
    </row>
    <row r="34" spans="1:6" hidden="1" x14ac:dyDescent="0.25">
      <c r="A34" t="s">
        <v>6</v>
      </c>
      <c r="B34" t="s">
        <v>7</v>
      </c>
      <c r="C34" t="s">
        <v>40</v>
      </c>
      <c r="D34">
        <v>500</v>
      </c>
      <c r="E34">
        <v>1819</v>
      </c>
      <c r="F34">
        <v>0.43</v>
      </c>
    </row>
    <row r="35" spans="1:6" hidden="1" x14ac:dyDescent="0.25">
      <c r="A35" t="s">
        <v>6</v>
      </c>
      <c r="B35" t="s">
        <v>7</v>
      </c>
      <c r="C35" t="s">
        <v>41</v>
      </c>
      <c r="D35">
        <v>700</v>
      </c>
      <c r="E35">
        <v>2180</v>
      </c>
      <c r="F35">
        <v>1.48</v>
      </c>
    </row>
    <row r="36" spans="1:6" hidden="1" x14ac:dyDescent="0.25">
      <c r="A36" t="s">
        <v>6</v>
      </c>
      <c r="B36" t="s">
        <v>7</v>
      </c>
      <c r="C36" t="s">
        <v>42</v>
      </c>
      <c r="D36">
        <v>800</v>
      </c>
      <c r="E36">
        <v>2272</v>
      </c>
      <c r="F36">
        <v>2.48</v>
      </c>
    </row>
    <row r="37" spans="1:6" hidden="1" x14ac:dyDescent="0.25">
      <c r="A37" t="s">
        <v>6</v>
      </c>
      <c r="B37" t="s">
        <v>7</v>
      </c>
      <c r="C37" t="s">
        <v>43</v>
      </c>
      <c r="D37">
        <v>1000</v>
      </c>
      <c r="E37">
        <v>2672</v>
      </c>
      <c r="F37">
        <v>4.5199999999999996</v>
      </c>
    </row>
    <row r="38" spans="1:6" hidden="1" x14ac:dyDescent="0.25">
      <c r="A38" t="s">
        <v>6</v>
      </c>
      <c r="B38" t="s">
        <v>7</v>
      </c>
      <c r="C38" t="s">
        <v>44</v>
      </c>
      <c r="D38">
        <v>300</v>
      </c>
      <c r="E38">
        <v>1235</v>
      </c>
      <c r="F38">
        <v>0.06</v>
      </c>
    </row>
    <row r="39" spans="1:6" hidden="1" x14ac:dyDescent="0.25">
      <c r="A39" t="s">
        <v>6</v>
      </c>
      <c r="B39" t="s">
        <v>7</v>
      </c>
      <c r="C39" t="s">
        <v>45</v>
      </c>
      <c r="D39">
        <v>500</v>
      </c>
      <c r="E39">
        <v>1779</v>
      </c>
      <c r="F39">
        <v>0.47</v>
      </c>
    </row>
    <row r="40" spans="1:6" hidden="1" x14ac:dyDescent="0.25">
      <c r="A40" t="s">
        <v>6</v>
      </c>
      <c r="B40" t="s">
        <v>7</v>
      </c>
      <c r="C40" t="s">
        <v>46</v>
      </c>
      <c r="D40">
        <v>700</v>
      </c>
      <c r="E40">
        <v>2145</v>
      </c>
      <c r="F40">
        <v>1.68</v>
      </c>
    </row>
    <row r="41" spans="1:6" hidden="1" x14ac:dyDescent="0.25">
      <c r="A41" t="s">
        <v>6</v>
      </c>
      <c r="B41" t="s">
        <v>7</v>
      </c>
      <c r="C41" t="s">
        <v>47</v>
      </c>
      <c r="D41">
        <v>800</v>
      </c>
      <c r="E41">
        <v>2253</v>
      </c>
      <c r="F41">
        <v>2.72</v>
      </c>
    </row>
    <row r="42" spans="1:6" hidden="1" x14ac:dyDescent="0.25">
      <c r="A42" t="s">
        <v>6</v>
      </c>
      <c r="B42" t="s">
        <v>7</v>
      </c>
      <c r="C42" t="s">
        <v>48</v>
      </c>
      <c r="D42">
        <v>1000</v>
      </c>
      <c r="E42">
        <v>2642</v>
      </c>
      <c r="F42">
        <v>4.82</v>
      </c>
    </row>
    <row r="43" spans="1:6" hidden="1" x14ac:dyDescent="0.25">
      <c r="A43" t="s">
        <v>6</v>
      </c>
      <c r="B43" t="s">
        <v>7</v>
      </c>
      <c r="C43" t="s">
        <v>49</v>
      </c>
      <c r="D43">
        <v>300</v>
      </c>
      <c r="E43">
        <v>1242</v>
      </c>
      <c r="F43">
        <v>0.08</v>
      </c>
    </row>
    <row r="44" spans="1:6" hidden="1" x14ac:dyDescent="0.25">
      <c r="A44" t="s">
        <v>6</v>
      </c>
      <c r="B44" t="s">
        <v>7</v>
      </c>
      <c r="C44" t="s">
        <v>50</v>
      </c>
      <c r="D44">
        <v>500</v>
      </c>
      <c r="E44">
        <v>1775</v>
      </c>
      <c r="F44">
        <v>0.47</v>
      </c>
    </row>
    <row r="45" spans="1:6" hidden="1" x14ac:dyDescent="0.25">
      <c r="A45" t="s">
        <v>6</v>
      </c>
      <c r="B45" t="s">
        <v>7</v>
      </c>
      <c r="C45" t="s">
        <v>51</v>
      </c>
      <c r="D45">
        <v>700</v>
      </c>
      <c r="E45">
        <v>2145</v>
      </c>
      <c r="F45">
        <v>1.59</v>
      </c>
    </row>
    <row r="46" spans="1:6" hidden="1" x14ac:dyDescent="0.25">
      <c r="A46" t="s">
        <v>6</v>
      </c>
      <c r="B46" t="s">
        <v>7</v>
      </c>
      <c r="C46" t="s">
        <v>52</v>
      </c>
      <c r="D46">
        <v>800</v>
      </c>
      <c r="E46">
        <v>2212</v>
      </c>
      <c r="F46">
        <v>2.57</v>
      </c>
    </row>
    <row r="47" spans="1:6" hidden="1" x14ac:dyDescent="0.25">
      <c r="A47" t="s">
        <v>6</v>
      </c>
      <c r="B47" t="s">
        <v>7</v>
      </c>
      <c r="C47" t="s">
        <v>53</v>
      </c>
      <c r="D47">
        <v>1000</v>
      </c>
      <c r="E47">
        <v>2562</v>
      </c>
      <c r="F47">
        <v>5.14</v>
      </c>
    </row>
    <row r="48" spans="1:6" hidden="1" x14ac:dyDescent="0.25">
      <c r="A48" t="s">
        <v>6</v>
      </c>
      <c r="B48" t="s">
        <v>7</v>
      </c>
      <c r="C48" t="s">
        <v>54</v>
      </c>
      <c r="D48">
        <v>300</v>
      </c>
      <c r="E48">
        <v>1171</v>
      </c>
      <c r="F48">
        <v>0.08</v>
      </c>
    </row>
    <row r="49" spans="1:6" hidden="1" x14ac:dyDescent="0.25">
      <c r="A49" t="s">
        <v>6</v>
      </c>
      <c r="B49" t="s">
        <v>7</v>
      </c>
      <c r="C49" t="s">
        <v>55</v>
      </c>
      <c r="D49">
        <v>500</v>
      </c>
      <c r="E49">
        <v>1768</v>
      </c>
      <c r="F49">
        <v>0.56999999999999995</v>
      </c>
    </row>
    <row r="50" spans="1:6" hidden="1" x14ac:dyDescent="0.25">
      <c r="A50" t="s">
        <v>6</v>
      </c>
      <c r="B50" t="s">
        <v>7</v>
      </c>
      <c r="C50" t="s">
        <v>56</v>
      </c>
      <c r="D50">
        <v>700</v>
      </c>
      <c r="E50">
        <v>2165</v>
      </c>
      <c r="F50">
        <v>1.62</v>
      </c>
    </row>
    <row r="51" spans="1:6" hidden="1" x14ac:dyDescent="0.25">
      <c r="A51" t="s">
        <v>6</v>
      </c>
      <c r="B51" t="s">
        <v>7</v>
      </c>
      <c r="C51" t="s">
        <v>57</v>
      </c>
      <c r="D51">
        <v>800</v>
      </c>
      <c r="E51">
        <v>2362</v>
      </c>
      <c r="F51">
        <v>2.3199999999999998</v>
      </c>
    </row>
    <row r="52" spans="1:6" hidden="1" x14ac:dyDescent="0.25">
      <c r="A52" t="s">
        <v>6</v>
      </c>
      <c r="B52" t="s">
        <v>58</v>
      </c>
      <c r="C52" t="s">
        <v>59</v>
      </c>
      <c r="D52">
        <v>1000</v>
      </c>
      <c r="E52">
        <v>2654</v>
      </c>
      <c r="F52">
        <v>5.09</v>
      </c>
    </row>
    <row r="53" spans="1:6" hidden="1" x14ac:dyDescent="0.25">
      <c r="A53" t="s">
        <v>6</v>
      </c>
      <c r="B53" t="s">
        <v>58</v>
      </c>
      <c r="C53" t="s">
        <v>60</v>
      </c>
      <c r="D53">
        <v>300</v>
      </c>
      <c r="E53">
        <v>1186</v>
      </c>
      <c r="F53">
        <v>0.08</v>
      </c>
    </row>
    <row r="54" spans="1:6" hidden="1" x14ac:dyDescent="0.25">
      <c r="A54" t="s">
        <v>6</v>
      </c>
      <c r="B54" t="s">
        <v>58</v>
      </c>
      <c r="C54" t="s">
        <v>61</v>
      </c>
      <c r="D54">
        <v>500</v>
      </c>
      <c r="E54">
        <v>1682</v>
      </c>
      <c r="F54">
        <v>0.54</v>
      </c>
    </row>
    <row r="55" spans="1:6" hidden="1" x14ac:dyDescent="0.25">
      <c r="A55" t="s">
        <v>6</v>
      </c>
      <c r="B55" t="s">
        <v>58</v>
      </c>
      <c r="C55" t="s">
        <v>62</v>
      </c>
      <c r="D55">
        <v>700</v>
      </c>
      <c r="E55">
        <v>2065</v>
      </c>
      <c r="F55">
        <v>1.74</v>
      </c>
    </row>
    <row r="56" spans="1:6" hidden="1" x14ac:dyDescent="0.25">
      <c r="A56" t="s">
        <v>6</v>
      </c>
      <c r="B56" t="s">
        <v>58</v>
      </c>
      <c r="C56" t="s">
        <v>63</v>
      </c>
      <c r="D56">
        <v>800</v>
      </c>
      <c r="E56">
        <v>2311</v>
      </c>
      <c r="F56">
        <v>2.5</v>
      </c>
    </row>
    <row r="57" spans="1:6" hidden="1" x14ac:dyDescent="0.25">
      <c r="A57" t="s">
        <v>6</v>
      </c>
      <c r="B57" t="s">
        <v>58</v>
      </c>
      <c r="C57" t="s">
        <v>64</v>
      </c>
      <c r="D57">
        <v>1000</v>
      </c>
      <c r="E57">
        <v>2574</v>
      </c>
      <c r="F57">
        <v>4.5999999999999996</v>
      </c>
    </row>
    <row r="58" spans="1:6" hidden="1" x14ac:dyDescent="0.25">
      <c r="A58" t="s">
        <v>6</v>
      </c>
      <c r="B58" t="s">
        <v>58</v>
      </c>
      <c r="C58" t="s">
        <v>65</v>
      </c>
      <c r="D58">
        <v>300</v>
      </c>
      <c r="E58">
        <v>1186</v>
      </c>
      <c r="F58">
        <v>7.0000000000000007E-2</v>
      </c>
    </row>
    <row r="59" spans="1:6" hidden="1" x14ac:dyDescent="0.25">
      <c r="A59" t="s">
        <v>6</v>
      </c>
      <c r="B59" t="s">
        <v>58</v>
      </c>
      <c r="C59" t="s">
        <v>66</v>
      </c>
      <c r="D59">
        <v>500</v>
      </c>
      <c r="E59">
        <v>1756</v>
      </c>
      <c r="F59">
        <v>0.41</v>
      </c>
    </row>
    <row r="60" spans="1:6" hidden="1" x14ac:dyDescent="0.25">
      <c r="A60" t="s">
        <v>6</v>
      </c>
      <c r="B60" t="s">
        <v>58</v>
      </c>
      <c r="C60" t="s">
        <v>67</v>
      </c>
      <c r="D60">
        <v>700</v>
      </c>
      <c r="E60">
        <v>2147</v>
      </c>
      <c r="F60">
        <v>1.44</v>
      </c>
    </row>
    <row r="61" spans="1:6" hidden="1" x14ac:dyDescent="0.25">
      <c r="A61" t="s">
        <v>6</v>
      </c>
      <c r="B61" t="s">
        <v>58</v>
      </c>
      <c r="C61" t="s">
        <v>68</v>
      </c>
      <c r="D61">
        <v>800</v>
      </c>
      <c r="E61">
        <v>2306</v>
      </c>
      <c r="F61">
        <v>2.14</v>
      </c>
    </row>
    <row r="62" spans="1:6" hidden="1" x14ac:dyDescent="0.25">
      <c r="A62" t="s">
        <v>6</v>
      </c>
      <c r="B62" t="s">
        <v>58</v>
      </c>
      <c r="C62" t="s">
        <v>69</v>
      </c>
      <c r="D62">
        <v>1000</v>
      </c>
      <c r="E62">
        <v>2544</v>
      </c>
      <c r="F62">
        <v>4.49</v>
      </c>
    </row>
    <row r="63" spans="1:6" hidden="1" x14ac:dyDescent="0.25">
      <c r="A63" t="s">
        <v>6</v>
      </c>
      <c r="B63" t="s">
        <v>58</v>
      </c>
      <c r="C63" t="s">
        <v>70</v>
      </c>
      <c r="D63">
        <v>300</v>
      </c>
      <c r="E63">
        <v>1238</v>
      </c>
      <c r="F63">
        <v>0.08</v>
      </c>
    </row>
    <row r="64" spans="1:6" hidden="1" x14ac:dyDescent="0.25">
      <c r="A64" t="s">
        <v>6</v>
      </c>
      <c r="B64" t="s">
        <v>58</v>
      </c>
      <c r="C64" t="s">
        <v>71</v>
      </c>
      <c r="D64">
        <v>500</v>
      </c>
      <c r="E64">
        <v>1772</v>
      </c>
      <c r="F64">
        <v>0.46</v>
      </c>
    </row>
    <row r="65" spans="1:6" hidden="1" x14ac:dyDescent="0.25">
      <c r="A65" t="s">
        <v>6</v>
      </c>
      <c r="B65" t="s">
        <v>58</v>
      </c>
      <c r="C65" t="s">
        <v>72</v>
      </c>
      <c r="D65">
        <v>700</v>
      </c>
      <c r="E65">
        <v>2065</v>
      </c>
      <c r="F65">
        <v>1.58</v>
      </c>
    </row>
    <row r="66" spans="1:6" hidden="1" x14ac:dyDescent="0.25">
      <c r="A66" t="s">
        <v>6</v>
      </c>
      <c r="B66" t="s">
        <v>58</v>
      </c>
      <c r="C66" t="s">
        <v>73</v>
      </c>
      <c r="D66">
        <v>800</v>
      </c>
      <c r="E66">
        <v>2176</v>
      </c>
      <c r="F66">
        <v>2.92</v>
      </c>
    </row>
    <row r="67" spans="1:6" hidden="1" x14ac:dyDescent="0.25">
      <c r="A67" t="s">
        <v>6</v>
      </c>
      <c r="B67" t="s">
        <v>58</v>
      </c>
      <c r="C67" t="s">
        <v>74</v>
      </c>
      <c r="D67">
        <v>1000</v>
      </c>
      <c r="E67">
        <v>2604</v>
      </c>
      <c r="F67">
        <v>5.58</v>
      </c>
    </row>
    <row r="68" spans="1:6" hidden="1" x14ac:dyDescent="0.25">
      <c r="A68" t="s">
        <v>6</v>
      </c>
      <c r="B68" t="s">
        <v>58</v>
      </c>
      <c r="C68" t="s">
        <v>75</v>
      </c>
      <c r="D68">
        <v>300</v>
      </c>
      <c r="E68">
        <v>1227</v>
      </c>
      <c r="F68">
        <v>7.0000000000000007E-2</v>
      </c>
    </row>
    <row r="69" spans="1:6" hidden="1" x14ac:dyDescent="0.25">
      <c r="A69" t="s">
        <v>6</v>
      </c>
      <c r="B69" t="s">
        <v>58</v>
      </c>
      <c r="C69" t="s">
        <v>76</v>
      </c>
      <c r="D69">
        <v>500</v>
      </c>
      <c r="E69">
        <v>1793</v>
      </c>
      <c r="F69">
        <v>0.49</v>
      </c>
    </row>
    <row r="70" spans="1:6" hidden="1" x14ac:dyDescent="0.25">
      <c r="A70" t="s">
        <v>6</v>
      </c>
      <c r="B70" t="s">
        <v>58</v>
      </c>
      <c r="C70" t="s">
        <v>77</v>
      </c>
      <c r="D70">
        <v>700</v>
      </c>
      <c r="E70">
        <v>2095</v>
      </c>
      <c r="F70">
        <v>1.74</v>
      </c>
    </row>
    <row r="71" spans="1:6" hidden="1" x14ac:dyDescent="0.25">
      <c r="A71" t="s">
        <v>6</v>
      </c>
      <c r="B71" t="s">
        <v>58</v>
      </c>
      <c r="C71" t="s">
        <v>78</v>
      </c>
      <c r="D71">
        <v>800</v>
      </c>
      <c r="E71">
        <v>2296</v>
      </c>
      <c r="F71">
        <v>2.63</v>
      </c>
    </row>
    <row r="72" spans="1:6" hidden="1" x14ac:dyDescent="0.25">
      <c r="A72" t="s">
        <v>6</v>
      </c>
      <c r="B72" t="s">
        <v>58</v>
      </c>
      <c r="C72" t="s">
        <v>79</v>
      </c>
      <c r="D72">
        <v>1000</v>
      </c>
      <c r="E72">
        <v>2825</v>
      </c>
      <c r="F72">
        <v>4.6100000000000003</v>
      </c>
    </row>
    <row r="73" spans="1:6" hidden="1" x14ac:dyDescent="0.25">
      <c r="A73" t="s">
        <v>6</v>
      </c>
      <c r="B73" t="s">
        <v>58</v>
      </c>
      <c r="C73" t="s">
        <v>80</v>
      </c>
      <c r="D73">
        <v>300</v>
      </c>
      <c r="E73">
        <v>1163</v>
      </c>
      <c r="F73">
        <v>0.09</v>
      </c>
    </row>
    <row r="74" spans="1:6" hidden="1" x14ac:dyDescent="0.25">
      <c r="A74" t="s">
        <v>6</v>
      </c>
      <c r="B74" t="s">
        <v>58</v>
      </c>
      <c r="C74" t="s">
        <v>81</v>
      </c>
      <c r="D74">
        <v>500</v>
      </c>
      <c r="E74">
        <v>1833</v>
      </c>
      <c r="F74">
        <v>0.54</v>
      </c>
    </row>
    <row r="75" spans="1:6" hidden="1" x14ac:dyDescent="0.25">
      <c r="A75" t="s">
        <v>6</v>
      </c>
      <c r="B75" t="s">
        <v>58</v>
      </c>
      <c r="C75" t="s">
        <v>82</v>
      </c>
      <c r="D75">
        <v>700</v>
      </c>
      <c r="E75">
        <v>2055</v>
      </c>
      <c r="F75">
        <v>2.0299999999999998</v>
      </c>
    </row>
    <row r="76" spans="1:6" hidden="1" x14ac:dyDescent="0.25">
      <c r="A76" t="s">
        <v>6</v>
      </c>
      <c r="B76" t="s">
        <v>58</v>
      </c>
      <c r="C76" t="s">
        <v>83</v>
      </c>
      <c r="D76">
        <v>800</v>
      </c>
      <c r="E76">
        <v>2216</v>
      </c>
      <c r="F76">
        <v>2.61</v>
      </c>
    </row>
    <row r="77" spans="1:6" hidden="1" x14ac:dyDescent="0.25">
      <c r="A77" t="s">
        <v>6</v>
      </c>
      <c r="B77" t="s">
        <v>58</v>
      </c>
      <c r="C77" t="s">
        <v>84</v>
      </c>
      <c r="D77">
        <v>1000</v>
      </c>
      <c r="E77">
        <v>2684</v>
      </c>
      <c r="F77">
        <v>4.95</v>
      </c>
    </row>
    <row r="78" spans="1:6" hidden="1" x14ac:dyDescent="0.25">
      <c r="A78" t="s">
        <v>6</v>
      </c>
      <c r="B78" t="s">
        <v>58</v>
      </c>
      <c r="C78" t="s">
        <v>85</v>
      </c>
      <c r="D78">
        <v>300</v>
      </c>
      <c r="E78">
        <v>1218</v>
      </c>
      <c r="F78">
        <v>0.12</v>
      </c>
    </row>
    <row r="79" spans="1:6" hidden="1" x14ac:dyDescent="0.25">
      <c r="A79" t="s">
        <v>6</v>
      </c>
      <c r="B79" t="s">
        <v>58</v>
      </c>
      <c r="C79" t="s">
        <v>86</v>
      </c>
      <c r="D79">
        <v>500</v>
      </c>
      <c r="E79">
        <v>1694</v>
      </c>
      <c r="F79">
        <v>0.61</v>
      </c>
    </row>
    <row r="80" spans="1:6" hidden="1" x14ac:dyDescent="0.25">
      <c r="A80" t="s">
        <v>6</v>
      </c>
      <c r="B80" t="s">
        <v>58</v>
      </c>
      <c r="C80" t="s">
        <v>87</v>
      </c>
      <c r="D80">
        <v>700</v>
      </c>
      <c r="E80">
        <v>2145</v>
      </c>
      <c r="F80">
        <v>1.74</v>
      </c>
    </row>
    <row r="81" spans="1:6" hidden="1" x14ac:dyDescent="0.25">
      <c r="A81" t="s">
        <v>6</v>
      </c>
      <c r="B81" t="s">
        <v>58</v>
      </c>
      <c r="C81" t="s">
        <v>88</v>
      </c>
      <c r="D81">
        <v>800</v>
      </c>
      <c r="E81">
        <v>2226</v>
      </c>
      <c r="F81">
        <v>2.65</v>
      </c>
    </row>
    <row r="82" spans="1:6" hidden="1" x14ac:dyDescent="0.25">
      <c r="A82" t="s">
        <v>6</v>
      </c>
      <c r="B82" t="s">
        <v>58</v>
      </c>
      <c r="C82" t="s">
        <v>89</v>
      </c>
      <c r="D82">
        <v>1000</v>
      </c>
      <c r="E82">
        <v>2644</v>
      </c>
      <c r="F82">
        <v>5.09</v>
      </c>
    </row>
    <row r="83" spans="1:6" hidden="1" x14ac:dyDescent="0.25">
      <c r="A83" t="s">
        <v>6</v>
      </c>
      <c r="B83" t="s">
        <v>58</v>
      </c>
      <c r="C83" t="s">
        <v>90</v>
      </c>
      <c r="D83">
        <v>300</v>
      </c>
      <c r="E83">
        <v>1213</v>
      </c>
      <c r="F83">
        <v>0.09</v>
      </c>
    </row>
    <row r="84" spans="1:6" hidden="1" x14ac:dyDescent="0.25">
      <c r="A84" t="s">
        <v>6</v>
      </c>
      <c r="B84" t="s">
        <v>58</v>
      </c>
      <c r="C84" t="s">
        <v>91</v>
      </c>
      <c r="D84">
        <v>500</v>
      </c>
      <c r="E84">
        <v>1705</v>
      </c>
      <c r="F84">
        <v>0.56000000000000005</v>
      </c>
    </row>
    <row r="85" spans="1:6" hidden="1" x14ac:dyDescent="0.25">
      <c r="A85" t="s">
        <v>6</v>
      </c>
      <c r="B85" t="s">
        <v>58</v>
      </c>
      <c r="C85" t="s">
        <v>92</v>
      </c>
      <c r="D85">
        <v>700</v>
      </c>
      <c r="E85">
        <v>2115</v>
      </c>
      <c r="F85">
        <v>1.81</v>
      </c>
    </row>
    <row r="86" spans="1:6" hidden="1" x14ac:dyDescent="0.25">
      <c r="A86" t="s">
        <v>6</v>
      </c>
      <c r="B86" t="s">
        <v>58</v>
      </c>
      <c r="C86" t="s">
        <v>93</v>
      </c>
      <c r="D86">
        <v>800</v>
      </c>
      <c r="E86">
        <v>2306</v>
      </c>
      <c r="F86">
        <v>2.4</v>
      </c>
    </row>
    <row r="87" spans="1:6" hidden="1" x14ac:dyDescent="0.25">
      <c r="A87" t="s">
        <v>6</v>
      </c>
      <c r="B87" t="s">
        <v>58</v>
      </c>
      <c r="C87" t="s">
        <v>94</v>
      </c>
      <c r="D87">
        <v>1000</v>
      </c>
      <c r="E87">
        <v>2654</v>
      </c>
      <c r="F87">
        <v>4.99</v>
      </c>
    </row>
    <row r="88" spans="1:6" hidden="1" x14ac:dyDescent="0.25">
      <c r="A88" t="s">
        <v>6</v>
      </c>
      <c r="B88" t="s">
        <v>58</v>
      </c>
      <c r="C88" t="s">
        <v>95</v>
      </c>
      <c r="D88">
        <v>300</v>
      </c>
      <c r="E88">
        <v>1236</v>
      </c>
      <c r="F88">
        <v>0.08</v>
      </c>
    </row>
    <row r="89" spans="1:6" hidden="1" x14ac:dyDescent="0.25">
      <c r="A89" t="s">
        <v>6</v>
      </c>
      <c r="B89" t="s">
        <v>58</v>
      </c>
      <c r="C89" t="s">
        <v>96</v>
      </c>
      <c r="D89">
        <v>500</v>
      </c>
      <c r="E89">
        <v>1822</v>
      </c>
      <c r="F89">
        <v>0.46</v>
      </c>
    </row>
    <row r="90" spans="1:6" hidden="1" x14ac:dyDescent="0.25">
      <c r="A90" t="s">
        <v>6</v>
      </c>
      <c r="B90" t="s">
        <v>58</v>
      </c>
      <c r="C90" t="s">
        <v>97</v>
      </c>
      <c r="D90">
        <v>700</v>
      </c>
      <c r="E90">
        <v>2195</v>
      </c>
      <c r="F90">
        <v>1.72</v>
      </c>
    </row>
    <row r="91" spans="1:6" hidden="1" x14ac:dyDescent="0.25">
      <c r="A91" t="s">
        <v>6</v>
      </c>
      <c r="B91" t="s">
        <v>58</v>
      </c>
      <c r="C91" t="s">
        <v>98</v>
      </c>
      <c r="D91">
        <v>800</v>
      </c>
      <c r="E91">
        <v>2233</v>
      </c>
      <c r="F91">
        <v>2.77</v>
      </c>
    </row>
    <row r="92" spans="1:6" hidden="1" x14ac:dyDescent="0.25">
      <c r="A92" t="s">
        <v>6</v>
      </c>
      <c r="B92" t="s">
        <v>58</v>
      </c>
      <c r="C92" t="s">
        <v>99</v>
      </c>
      <c r="D92">
        <v>1000</v>
      </c>
      <c r="E92">
        <v>2634</v>
      </c>
      <c r="F92">
        <v>4.8499999999999996</v>
      </c>
    </row>
    <row r="93" spans="1:6" hidden="1" x14ac:dyDescent="0.25">
      <c r="A93" t="s">
        <v>6</v>
      </c>
      <c r="B93" t="s">
        <v>58</v>
      </c>
      <c r="C93" t="s">
        <v>100</v>
      </c>
      <c r="D93">
        <v>300</v>
      </c>
      <c r="E93">
        <v>1177</v>
      </c>
      <c r="F93">
        <v>0.08</v>
      </c>
    </row>
    <row r="94" spans="1:6" hidden="1" x14ac:dyDescent="0.25">
      <c r="A94" t="s">
        <v>6</v>
      </c>
      <c r="B94" t="s">
        <v>58</v>
      </c>
      <c r="C94" t="s">
        <v>101</v>
      </c>
      <c r="D94">
        <v>500</v>
      </c>
      <c r="E94">
        <v>1721</v>
      </c>
      <c r="F94">
        <v>0.48</v>
      </c>
    </row>
    <row r="95" spans="1:6" hidden="1" x14ac:dyDescent="0.25">
      <c r="A95" t="s">
        <v>6</v>
      </c>
      <c r="B95" t="s">
        <v>58</v>
      </c>
      <c r="C95" t="s">
        <v>102</v>
      </c>
      <c r="D95">
        <v>700</v>
      </c>
      <c r="E95">
        <v>2167</v>
      </c>
      <c r="F95">
        <v>1.53</v>
      </c>
    </row>
    <row r="96" spans="1:6" hidden="1" x14ac:dyDescent="0.25">
      <c r="A96" t="s">
        <v>6</v>
      </c>
      <c r="B96" t="s">
        <v>58</v>
      </c>
      <c r="C96" t="s">
        <v>103</v>
      </c>
      <c r="D96">
        <v>800</v>
      </c>
      <c r="E96">
        <v>2254</v>
      </c>
      <c r="F96">
        <v>2.67</v>
      </c>
    </row>
    <row r="97" spans="1:6" hidden="1" x14ac:dyDescent="0.25">
      <c r="A97" t="s">
        <v>6</v>
      </c>
      <c r="B97" t="s">
        <v>58</v>
      </c>
      <c r="C97" t="s">
        <v>104</v>
      </c>
      <c r="D97">
        <v>1000</v>
      </c>
      <c r="E97">
        <v>2604</v>
      </c>
      <c r="F97">
        <v>4.88</v>
      </c>
    </row>
    <row r="98" spans="1:6" hidden="1" x14ac:dyDescent="0.25">
      <c r="A98" t="s">
        <v>6</v>
      </c>
      <c r="B98" t="s">
        <v>58</v>
      </c>
      <c r="C98" t="s">
        <v>105</v>
      </c>
      <c r="D98">
        <v>300</v>
      </c>
      <c r="E98">
        <v>1168</v>
      </c>
      <c r="F98">
        <v>0.08</v>
      </c>
    </row>
    <row r="99" spans="1:6" hidden="1" x14ac:dyDescent="0.25">
      <c r="A99" t="s">
        <v>6</v>
      </c>
      <c r="B99" t="s">
        <v>58</v>
      </c>
      <c r="C99" t="s">
        <v>106</v>
      </c>
      <c r="D99">
        <v>500</v>
      </c>
      <c r="E99">
        <v>1664</v>
      </c>
      <c r="F99">
        <v>0.5</v>
      </c>
    </row>
    <row r="100" spans="1:6" hidden="1" x14ac:dyDescent="0.25">
      <c r="A100" t="s">
        <v>6</v>
      </c>
      <c r="B100" t="s">
        <v>58</v>
      </c>
      <c r="C100" t="s">
        <v>107</v>
      </c>
      <c r="D100">
        <v>700</v>
      </c>
      <c r="E100">
        <v>2065</v>
      </c>
      <c r="F100">
        <v>1.47</v>
      </c>
    </row>
    <row r="101" spans="1:6" hidden="1" x14ac:dyDescent="0.25">
      <c r="A101" t="s">
        <v>6</v>
      </c>
      <c r="B101" t="s">
        <v>58</v>
      </c>
      <c r="C101" t="s">
        <v>108</v>
      </c>
      <c r="D101">
        <v>800</v>
      </c>
      <c r="E101">
        <v>2286</v>
      </c>
      <c r="F101">
        <v>2.14</v>
      </c>
    </row>
    <row r="102" spans="1:6" hidden="1" x14ac:dyDescent="0.25">
      <c r="A102" t="s">
        <v>6</v>
      </c>
      <c r="B102" t="s">
        <v>109</v>
      </c>
      <c r="C102" t="s">
        <v>110</v>
      </c>
      <c r="D102">
        <v>1000</v>
      </c>
      <c r="E102">
        <v>3026</v>
      </c>
      <c r="F102">
        <v>4.2300000000000004</v>
      </c>
    </row>
    <row r="103" spans="1:6" hidden="1" x14ac:dyDescent="0.25">
      <c r="A103" t="s">
        <v>6</v>
      </c>
      <c r="B103" t="s">
        <v>109</v>
      </c>
      <c r="C103" t="s">
        <v>111</v>
      </c>
      <c r="D103">
        <v>300</v>
      </c>
      <c r="E103">
        <v>1495</v>
      </c>
      <c r="F103">
        <v>7.0000000000000007E-2</v>
      </c>
    </row>
    <row r="104" spans="1:6" hidden="1" x14ac:dyDescent="0.25">
      <c r="A104" t="s">
        <v>6</v>
      </c>
      <c r="B104" t="s">
        <v>109</v>
      </c>
      <c r="C104" t="s">
        <v>112</v>
      </c>
      <c r="D104">
        <v>500</v>
      </c>
      <c r="E104">
        <v>2302</v>
      </c>
      <c r="F104">
        <v>0.45</v>
      </c>
    </row>
    <row r="105" spans="1:6" hidden="1" x14ac:dyDescent="0.25">
      <c r="A105" t="s">
        <v>6</v>
      </c>
      <c r="B105" t="s">
        <v>109</v>
      </c>
      <c r="C105" t="s">
        <v>113</v>
      </c>
      <c r="D105">
        <v>700</v>
      </c>
      <c r="E105">
        <v>2715</v>
      </c>
      <c r="F105">
        <v>1.34</v>
      </c>
    </row>
    <row r="106" spans="1:6" hidden="1" x14ac:dyDescent="0.25">
      <c r="A106" t="s">
        <v>6</v>
      </c>
      <c r="B106" t="s">
        <v>109</v>
      </c>
      <c r="C106" t="s">
        <v>114</v>
      </c>
      <c r="D106">
        <v>800</v>
      </c>
      <c r="E106">
        <v>2683</v>
      </c>
      <c r="F106">
        <v>2.52</v>
      </c>
    </row>
    <row r="107" spans="1:6" hidden="1" x14ac:dyDescent="0.25">
      <c r="A107" t="s">
        <v>6</v>
      </c>
      <c r="B107" t="s">
        <v>109</v>
      </c>
      <c r="C107" t="s">
        <v>115</v>
      </c>
      <c r="D107">
        <v>1000</v>
      </c>
      <c r="E107">
        <v>2878</v>
      </c>
      <c r="F107">
        <v>4.63</v>
      </c>
    </row>
    <row r="108" spans="1:6" hidden="1" x14ac:dyDescent="0.25">
      <c r="A108" t="s">
        <v>6</v>
      </c>
      <c r="B108" t="s">
        <v>109</v>
      </c>
      <c r="C108" t="s">
        <v>116</v>
      </c>
      <c r="D108">
        <v>300</v>
      </c>
      <c r="E108">
        <v>1515</v>
      </c>
      <c r="F108">
        <v>0.08</v>
      </c>
    </row>
    <row r="109" spans="1:6" hidden="1" x14ac:dyDescent="0.25">
      <c r="A109" t="s">
        <v>6</v>
      </c>
      <c r="B109" t="s">
        <v>109</v>
      </c>
      <c r="C109" t="s">
        <v>117</v>
      </c>
      <c r="D109">
        <v>500</v>
      </c>
      <c r="E109">
        <v>2307</v>
      </c>
      <c r="F109">
        <v>0.5</v>
      </c>
    </row>
    <row r="110" spans="1:6" hidden="1" x14ac:dyDescent="0.25">
      <c r="A110" t="s">
        <v>6</v>
      </c>
      <c r="B110" t="s">
        <v>109</v>
      </c>
      <c r="C110" t="s">
        <v>118</v>
      </c>
      <c r="D110">
        <v>700</v>
      </c>
      <c r="E110">
        <v>2603</v>
      </c>
      <c r="F110">
        <v>1.64</v>
      </c>
    </row>
    <row r="111" spans="1:6" hidden="1" x14ac:dyDescent="0.25">
      <c r="A111" t="s">
        <v>6</v>
      </c>
      <c r="B111" t="s">
        <v>109</v>
      </c>
      <c r="C111" t="s">
        <v>119</v>
      </c>
      <c r="D111">
        <v>800</v>
      </c>
      <c r="E111">
        <v>2632</v>
      </c>
      <c r="F111">
        <v>2.62</v>
      </c>
    </row>
    <row r="112" spans="1:6" hidden="1" x14ac:dyDescent="0.25">
      <c r="A112" t="s">
        <v>6</v>
      </c>
      <c r="B112" t="s">
        <v>109</v>
      </c>
      <c r="C112" t="s">
        <v>120</v>
      </c>
      <c r="D112">
        <v>1000</v>
      </c>
      <c r="E112">
        <v>2778</v>
      </c>
      <c r="F112">
        <v>5.38</v>
      </c>
    </row>
    <row r="113" spans="1:6" hidden="1" x14ac:dyDescent="0.25">
      <c r="A113" t="s">
        <v>6</v>
      </c>
      <c r="B113" t="s">
        <v>109</v>
      </c>
      <c r="C113" t="s">
        <v>121</v>
      </c>
      <c r="D113">
        <v>300</v>
      </c>
      <c r="E113">
        <v>1478</v>
      </c>
      <c r="F113">
        <v>0.08</v>
      </c>
    </row>
    <row r="114" spans="1:6" hidden="1" x14ac:dyDescent="0.25">
      <c r="A114" t="s">
        <v>6</v>
      </c>
      <c r="B114" t="s">
        <v>109</v>
      </c>
      <c r="C114" t="s">
        <v>122</v>
      </c>
      <c r="D114">
        <v>500</v>
      </c>
      <c r="E114">
        <v>2209</v>
      </c>
      <c r="F114">
        <v>0.56000000000000005</v>
      </c>
    </row>
    <row r="115" spans="1:6" hidden="1" x14ac:dyDescent="0.25">
      <c r="A115" t="s">
        <v>6</v>
      </c>
      <c r="B115" t="s">
        <v>109</v>
      </c>
      <c r="C115" t="s">
        <v>123</v>
      </c>
      <c r="D115">
        <v>700</v>
      </c>
      <c r="E115">
        <v>2512</v>
      </c>
      <c r="F115">
        <v>2.11</v>
      </c>
    </row>
    <row r="116" spans="1:6" hidden="1" x14ac:dyDescent="0.25">
      <c r="A116" t="s">
        <v>6</v>
      </c>
      <c r="B116" t="s">
        <v>109</v>
      </c>
      <c r="C116" t="s">
        <v>124</v>
      </c>
      <c r="D116">
        <v>800</v>
      </c>
      <c r="E116">
        <v>2859</v>
      </c>
      <c r="F116">
        <v>2.3199999999999998</v>
      </c>
    </row>
    <row r="117" spans="1:6" hidden="1" x14ac:dyDescent="0.25">
      <c r="A117" t="s">
        <v>6</v>
      </c>
      <c r="B117" t="s">
        <v>109</v>
      </c>
      <c r="C117" t="s">
        <v>125</v>
      </c>
      <c r="D117">
        <v>1000</v>
      </c>
      <c r="E117">
        <v>2815</v>
      </c>
      <c r="F117">
        <v>5.35</v>
      </c>
    </row>
    <row r="118" spans="1:6" hidden="1" x14ac:dyDescent="0.25">
      <c r="A118" t="s">
        <v>6</v>
      </c>
      <c r="B118" t="s">
        <v>109</v>
      </c>
      <c r="C118" t="s">
        <v>126</v>
      </c>
      <c r="D118">
        <v>300</v>
      </c>
      <c r="E118">
        <v>1409</v>
      </c>
      <c r="F118">
        <v>0.08</v>
      </c>
    </row>
    <row r="119" spans="1:6" hidden="1" x14ac:dyDescent="0.25">
      <c r="A119" t="s">
        <v>6</v>
      </c>
      <c r="B119" t="s">
        <v>109</v>
      </c>
      <c r="C119" t="s">
        <v>127</v>
      </c>
      <c r="D119">
        <v>500</v>
      </c>
      <c r="E119">
        <v>2245</v>
      </c>
      <c r="F119">
        <v>0.51</v>
      </c>
    </row>
    <row r="120" spans="1:6" hidden="1" x14ac:dyDescent="0.25">
      <c r="A120" t="s">
        <v>6</v>
      </c>
      <c r="B120" t="s">
        <v>109</v>
      </c>
      <c r="C120" t="s">
        <v>128</v>
      </c>
      <c r="D120">
        <v>700</v>
      </c>
      <c r="E120">
        <v>2611</v>
      </c>
      <c r="F120">
        <v>1.42</v>
      </c>
    </row>
    <row r="121" spans="1:6" hidden="1" x14ac:dyDescent="0.25">
      <c r="A121" t="s">
        <v>6</v>
      </c>
      <c r="B121" t="s">
        <v>109</v>
      </c>
      <c r="C121" t="s">
        <v>129</v>
      </c>
      <c r="D121">
        <v>800</v>
      </c>
      <c r="E121">
        <v>2862</v>
      </c>
      <c r="F121">
        <v>2.04</v>
      </c>
    </row>
    <row r="122" spans="1:6" hidden="1" x14ac:dyDescent="0.25">
      <c r="A122" t="s">
        <v>6</v>
      </c>
      <c r="B122" t="s">
        <v>109</v>
      </c>
      <c r="C122" t="s">
        <v>130</v>
      </c>
      <c r="D122">
        <v>1000</v>
      </c>
      <c r="E122">
        <v>3071</v>
      </c>
      <c r="F122">
        <v>4.57</v>
      </c>
    </row>
    <row r="123" spans="1:6" hidden="1" x14ac:dyDescent="0.25">
      <c r="A123" t="s">
        <v>6</v>
      </c>
      <c r="B123" t="s">
        <v>109</v>
      </c>
      <c r="C123" t="s">
        <v>131</v>
      </c>
      <c r="D123">
        <v>300</v>
      </c>
      <c r="E123">
        <v>1706</v>
      </c>
      <c r="F123">
        <v>0.08</v>
      </c>
    </row>
    <row r="124" spans="1:6" hidden="1" x14ac:dyDescent="0.25">
      <c r="A124" t="s">
        <v>6</v>
      </c>
      <c r="B124" t="s">
        <v>109</v>
      </c>
      <c r="C124" t="s">
        <v>132</v>
      </c>
      <c r="D124">
        <v>500</v>
      </c>
      <c r="E124">
        <v>2117</v>
      </c>
      <c r="F124">
        <v>0.47</v>
      </c>
    </row>
    <row r="125" spans="1:6" hidden="1" x14ac:dyDescent="0.25">
      <c r="A125" t="s">
        <v>6</v>
      </c>
      <c r="B125" t="s">
        <v>109</v>
      </c>
      <c r="C125" t="s">
        <v>133</v>
      </c>
      <c r="D125">
        <v>700</v>
      </c>
      <c r="E125">
        <v>2646</v>
      </c>
      <c r="F125">
        <v>1.4</v>
      </c>
    </row>
    <row r="126" spans="1:6" hidden="1" x14ac:dyDescent="0.25">
      <c r="A126" t="s">
        <v>6</v>
      </c>
      <c r="B126" t="s">
        <v>109</v>
      </c>
      <c r="C126" t="s">
        <v>134</v>
      </c>
      <c r="D126">
        <v>800</v>
      </c>
      <c r="E126">
        <v>2826</v>
      </c>
      <c r="F126">
        <v>2.21</v>
      </c>
    </row>
    <row r="127" spans="1:6" hidden="1" x14ac:dyDescent="0.25">
      <c r="A127" t="s">
        <v>6</v>
      </c>
      <c r="B127" t="s">
        <v>109</v>
      </c>
      <c r="C127" t="s">
        <v>135</v>
      </c>
      <c r="D127">
        <v>1000</v>
      </c>
      <c r="E127">
        <v>2872</v>
      </c>
      <c r="F127">
        <v>5.0199999999999996</v>
      </c>
    </row>
    <row r="128" spans="1:6" hidden="1" x14ac:dyDescent="0.25">
      <c r="A128" t="s">
        <v>6</v>
      </c>
      <c r="B128" t="s">
        <v>109</v>
      </c>
      <c r="C128" t="s">
        <v>136</v>
      </c>
      <c r="D128">
        <v>300</v>
      </c>
      <c r="E128">
        <v>1486</v>
      </c>
      <c r="F128">
        <v>7.0000000000000007E-2</v>
      </c>
    </row>
    <row r="129" spans="1:6" hidden="1" x14ac:dyDescent="0.25">
      <c r="A129" t="s">
        <v>6</v>
      </c>
      <c r="B129" t="s">
        <v>109</v>
      </c>
      <c r="C129" t="s">
        <v>137</v>
      </c>
      <c r="D129">
        <v>500</v>
      </c>
      <c r="E129">
        <v>2309</v>
      </c>
      <c r="F129">
        <v>0.45</v>
      </c>
    </row>
    <row r="130" spans="1:6" hidden="1" x14ac:dyDescent="0.25">
      <c r="A130" t="s">
        <v>6</v>
      </c>
      <c r="B130" t="s">
        <v>109</v>
      </c>
      <c r="C130" t="s">
        <v>138</v>
      </c>
      <c r="D130">
        <v>700</v>
      </c>
      <c r="E130">
        <v>2680</v>
      </c>
      <c r="F130">
        <v>1.61</v>
      </c>
    </row>
    <row r="131" spans="1:6" hidden="1" x14ac:dyDescent="0.25">
      <c r="A131" t="s">
        <v>6</v>
      </c>
      <c r="B131" t="s">
        <v>109</v>
      </c>
      <c r="C131" t="s">
        <v>139</v>
      </c>
      <c r="D131">
        <v>800</v>
      </c>
      <c r="E131">
        <v>2776</v>
      </c>
      <c r="F131">
        <v>2.2999999999999998</v>
      </c>
    </row>
    <row r="132" spans="1:6" hidden="1" x14ac:dyDescent="0.25">
      <c r="A132" t="s">
        <v>6</v>
      </c>
      <c r="B132" t="s">
        <v>109</v>
      </c>
      <c r="C132" t="s">
        <v>140</v>
      </c>
      <c r="D132">
        <v>1000</v>
      </c>
      <c r="E132">
        <v>3029</v>
      </c>
      <c r="F132">
        <v>4.3600000000000003</v>
      </c>
    </row>
    <row r="133" spans="1:6" hidden="1" x14ac:dyDescent="0.25">
      <c r="A133" t="s">
        <v>6</v>
      </c>
      <c r="B133" t="s">
        <v>109</v>
      </c>
      <c r="C133" t="s">
        <v>141</v>
      </c>
      <c r="D133">
        <v>300</v>
      </c>
      <c r="E133">
        <v>1551</v>
      </c>
      <c r="F133">
        <v>0.08</v>
      </c>
    </row>
    <row r="134" spans="1:6" hidden="1" x14ac:dyDescent="0.25">
      <c r="A134" t="s">
        <v>6</v>
      </c>
      <c r="B134" t="s">
        <v>109</v>
      </c>
      <c r="C134" t="s">
        <v>142</v>
      </c>
      <c r="D134">
        <v>500</v>
      </c>
      <c r="E134">
        <v>2225</v>
      </c>
      <c r="F134">
        <v>0.46</v>
      </c>
    </row>
    <row r="135" spans="1:6" hidden="1" x14ac:dyDescent="0.25">
      <c r="A135" t="s">
        <v>6</v>
      </c>
      <c r="B135" t="s">
        <v>109</v>
      </c>
      <c r="C135" t="s">
        <v>143</v>
      </c>
      <c r="D135">
        <v>700</v>
      </c>
      <c r="E135">
        <v>2625</v>
      </c>
      <c r="F135">
        <v>1.69</v>
      </c>
    </row>
    <row r="136" spans="1:6" hidden="1" x14ac:dyDescent="0.25">
      <c r="A136" t="s">
        <v>6</v>
      </c>
      <c r="B136" t="s">
        <v>109</v>
      </c>
      <c r="C136" t="s">
        <v>144</v>
      </c>
      <c r="D136">
        <v>800</v>
      </c>
      <c r="E136">
        <v>2670</v>
      </c>
      <c r="F136">
        <v>2.68</v>
      </c>
    </row>
    <row r="137" spans="1:6" hidden="1" x14ac:dyDescent="0.25">
      <c r="A137" t="s">
        <v>6</v>
      </c>
      <c r="B137" t="s">
        <v>109</v>
      </c>
      <c r="C137" t="s">
        <v>145</v>
      </c>
      <c r="D137">
        <v>1000</v>
      </c>
      <c r="E137">
        <v>2814</v>
      </c>
      <c r="F137">
        <v>5.19</v>
      </c>
    </row>
    <row r="138" spans="1:6" hidden="1" x14ac:dyDescent="0.25">
      <c r="A138" t="s">
        <v>6</v>
      </c>
      <c r="B138" t="s">
        <v>109</v>
      </c>
      <c r="C138" t="s">
        <v>146</v>
      </c>
      <c r="D138">
        <v>300</v>
      </c>
      <c r="E138">
        <v>1508</v>
      </c>
      <c r="F138">
        <v>0.08</v>
      </c>
    </row>
    <row r="139" spans="1:6" hidden="1" x14ac:dyDescent="0.25">
      <c r="A139" t="s">
        <v>6</v>
      </c>
      <c r="B139" t="s">
        <v>109</v>
      </c>
      <c r="C139" t="s">
        <v>147</v>
      </c>
      <c r="D139">
        <v>500</v>
      </c>
      <c r="E139">
        <v>2172</v>
      </c>
      <c r="F139">
        <v>0.59</v>
      </c>
    </row>
    <row r="140" spans="1:6" hidden="1" x14ac:dyDescent="0.25">
      <c r="A140" t="s">
        <v>6</v>
      </c>
      <c r="B140" t="s">
        <v>109</v>
      </c>
      <c r="C140" t="s">
        <v>148</v>
      </c>
      <c r="D140">
        <v>700</v>
      </c>
      <c r="E140">
        <v>2650</v>
      </c>
      <c r="F140">
        <v>1.85</v>
      </c>
    </row>
    <row r="141" spans="1:6" hidden="1" x14ac:dyDescent="0.25">
      <c r="A141" t="s">
        <v>6</v>
      </c>
      <c r="B141" t="s">
        <v>109</v>
      </c>
      <c r="C141" t="s">
        <v>149</v>
      </c>
      <c r="D141">
        <v>800</v>
      </c>
      <c r="E141">
        <v>2802</v>
      </c>
      <c r="F141">
        <v>2.61</v>
      </c>
    </row>
    <row r="142" spans="1:6" hidden="1" x14ac:dyDescent="0.25">
      <c r="A142" t="s">
        <v>6</v>
      </c>
      <c r="B142" t="s">
        <v>109</v>
      </c>
      <c r="C142" t="s">
        <v>150</v>
      </c>
      <c r="D142">
        <v>1000</v>
      </c>
      <c r="E142">
        <v>2808</v>
      </c>
      <c r="F142">
        <v>5.34</v>
      </c>
    </row>
    <row r="143" spans="1:6" hidden="1" x14ac:dyDescent="0.25">
      <c r="A143" t="s">
        <v>6</v>
      </c>
      <c r="B143" t="s">
        <v>109</v>
      </c>
      <c r="C143" t="s">
        <v>151</v>
      </c>
      <c r="D143">
        <v>300</v>
      </c>
      <c r="E143">
        <v>1522</v>
      </c>
      <c r="F143">
        <v>0.09</v>
      </c>
    </row>
    <row r="144" spans="1:6" hidden="1" x14ac:dyDescent="0.25">
      <c r="A144" t="s">
        <v>6</v>
      </c>
      <c r="B144" t="s">
        <v>109</v>
      </c>
      <c r="C144" t="s">
        <v>152</v>
      </c>
      <c r="D144">
        <v>500</v>
      </c>
      <c r="E144">
        <v>2187</v>
      </c>
      <c r="F144">
        <v>0.69</v>
      </c>
    </row>
    <row r="145" spans="1:6" hidden="1" x14ac:dyDescent="0.25">
      <c r="A145" t="s">
        <v>6</v>
      </c>
      <c r="B145" t="s">
        <v>109</v>
      </c>
      <c r="C145" t="s">
        <v>153</v>
      </c>
      <c r="D145">
        <v>700</v>
      </c>
      <c r="E145">
        <v>2570</v>
      </c>
      <c r="F145">
        <v>1.97</v>
      </c>
    </row>
    <row r="146" spans="1:6" hidden="1" x14ac:dyDescent="0.25">
      <c r="A146" t="s">
        <v>6</v>
      </c>
      <c r="B146" t="s">
        <v>109</v>
      </c>
      <c r="C146" t="s">
        <v>154</v>
      </c>
      <c r="D146">
        <v>800</v>
      </c>
      <c r="E146">
        <v>2818</v>
      </c>
      <c r="F146">
        <v>3.06</v>
      </c>
    </row>
    <row r="147" spans="1:6" hidden="1" x14ac:dyDescent="0.25">
      <c r="A147" t="s">
        <v>6</v>
      </c>
      <c r="B147" t="s">
        <v>109</v>
      </c>
      <c r="C147" t="s">
        <v>155</v>
      </c>
      <c r="D147">
        <v>1000</v>
      </c>
      <c r="E147">
        <v>2804</v>
      </c>
      <c r="F147">
        <v>5.68</v>
      </c>
    </row>
    <row r="148" spans="1:6" hidden="1" x14ac:dyDescent="0.25">
      <c r="A148" t="s">
        <v>6</v>
      </c>
      <c r="B148" t="s">
        <v>109</v>
      </c>
      <c r="C148" t="s">
        <v>156</v>
      </c>
      <c r="D148">
        <v>300</v>
      </c>
      <c r="E148">
        <v>1453</v>
      </c>
      <c r="F148">
        <v>0.08</v>
      </c>
    </row>
    <row r="149" spans="1:6" hidden="1" x14ac:dyDescent="0.25">
      <c r="A149" t="s">
        <v>6</v>
      </c>
      <c r="B149" t="s">
        <v>109</v>
      </c>
      <c r="C149" t="s">
        <v>157</v>
      </c>
      <c r="D149">
        <v>500</v>
      </c>
      <c r="E149">
        <v>2217</v>
      </c>
      <c r="F149">
        <v>0.55000000000000004</v>
      </c>
    </row>
    <row r="150" spans="1:6" hidden="1" x14ac:dyDescent="0.25">
      <c r="A150" t="s">
        <v>6</v>
      </c>
      <c r="B150" t="s">
        <v>109</v>
      </c>
      <c r="C150" t="s">
        <v>158</v>
      </c>
      <c r="D150">
        <v>700</v>
      </c>
      <c r="E150">
        <v>2809</v>
      </c>
      <c r="F150">
        <v>1.66</v>
      </c>
    </row>
    <row r="151" spans="1:6" hidden="1" x14ac:dyDescent="0.25">
      <c r="A151" t="s">
        <v>6</v>
      </c>
      <c r="B151" t="s">
        <v>109</v>
      </c>
      <c r="C151" t="s">
        <v>159</v>
      </c>
      <c r="D151">
        <v>800</v>
      </c>
      <c r="E151">
        <v>2839</v>
      </c>
      <c r="F151">
        <v>2.34</v>
      </c>
    </row>
    <row r="152" spans="1:6" hidden="1" x14ac:dyDescent="0.25">
      <c r="A152" t="s">
        <v>160</v>
      </c>
      <c r="B152" t="s">
        <v>7</v>
      </c>
      <c r="C152" t="s">
        <v>161</v>
      </c>
      <c r="D152">
        <v>1000</v>
      </c>
      <c r="E152">
        <v>2046</v>
      </c>
      <c r="F152">
        <v>7.26</v>
      </c>
    </row>
    <row r="153" spans="1:6" hidden="1" x14ac:dyDescent="0.25">
      <c r="A153" t="s">
        <v>160</v>
      </c>
      <c r="B153" t="s">
        <v>7</v>
      </c>
      <c r="C153" t="s">
        <v>162</v>
      </c>
      <c r="D153">
        <v>300</v>
      </c>
      <c r="E153">
        <v>975</v>
      </c>
      <c r="F153">
        <v>0.48</v>
      </c>
    </row>
    <row r="154" spans="1:6" hidden="1" x14ac:dyDescent="0.25">
      <c r="A154" t="s">
        <v>160</v>
      </c>
      <c r="B154" t="s">
        <v>7</v>
      </c>
      <c r="C154" t="s">
        <v>163</v>
      </c>
      <c r="D154">
        <v>500</v>
      </c>
      <c r="E154">
        <v>1330</v>
      </c>
      <c r="F154">
        <v>1.67</v>
      </c>
    </row>
    <row r="155" spans="1:6" hidden="1" x14ac:dyDescent="0.25">
      <c r="A155" t="s">
        <v>160</v>
      </c>
      <c r="B155" t="s">
        <v>7</v>
      </c>
      <c r="C155" t="s">
        <v>164</v>
      </c>
      <c r="D155">
        <v>700</v>
      </c>
      <c r="E155">
        <v>1665</v>
      </c>
      <c r="F155">
        <v>3.68</v>
      </c>
    </row>
    <row r="156" spans="1:6" hidden="1" x14ac:dyDescent="0.25">
      <c r="A156" t="s">
        <v>160</v>
      </c>
      <c r="B156" t="s">
        <v>7</v>
      </c>
      <c r="C156" t="s">
        <v>165</v>
      </c>
      <c r="D156">
        <v>800</v>
      </c>
      <c r="E156">
        <v>1782</v>
      </c>
      <c r="F156">
        <v>4.53</v>
      </c>
    </row>
    <row r="157" spans="1:6" hidden="1" x14ac:dyDescent="0.25">
      <c r="A157" t="s">
        <v>160</v>
      </c>
      <c r="B157" t="s">
        <v>7</v>
      </c>
      <c r="C157" t="s">
        <v>166</v>
      </c>
      <c r="D157">
        <v>1000</v>
      </c>
      <c r="E157">
        <v>2107</v>
      </c>
      <c r="F157">
        <v>7.01</v>
      </c>
    </row>
    <row r="158" spans="1:6" hidden="1" x14ac:dyDescent="0.25">
      <c r="A158" t="s">
        <v>160</v>
      </c>
      <c r="B158" t="s">
        <v>7</v>
      </c>
      <c r="C158" t="s">
        <v>167</v>
      </c>
      <c r="D158">
        <v>300</v>
      </c>
      <c r="E158">
        <v>965</v>
      </c>
      <c r="F158">
        <v>0.41</v>
      </c>
    </row>
    <row r="159" spans="1:6" hidden="1" x14ac:dyDescent="0.25">
      <c r="A159" t="s">
        <v>160</v>
      </c>
      <c r="B159" t="s">
        <v>7</v>
      </c>
      <c r="C159" t="s">
        <v>168</v>
      </c>
      <c r="D159">
        <v>500</v>
      </c>
      <c r="E159">
        <v>1305</v>
      </c>
      <c r="F159">
        <v>1.79</v>
      </c>
    </row>
    <row r="160" spans="1:6" hidden="1" x14ac:dyDescent="0.25">
      <c r="A160" t="s">
        <v>160</v>
      </c>
      <c r="B160" t="s">
        <v>7</v>
      </c>
      <c r="C160" t="s">
        <v>169</v>
      </c>
      <c r="D160">
        <v>700</v>
      </c>
      <c r="E160">
        <v>1616</v>
      </c>
      <c r="F160">
        <v>3.61</v>
      </c>
    </row>
    <row r="161" spans="1:6" hidden="1" x14ac:dyDescent="0.25">
      <c r="A161" t="s">
        <v>160</v>
      </c>
      <c r="B161" t="s">
        <v>7</v>
      </c>
      <c r="C161" t="s">
        <v>170</v>
      </c>
      <c r="D161">
        <v>800</v>
      </c>
      <c r="E161">
        <v>1782</v>
      </c>
      <c r="F161">
        <v>4.29</v>
      </c>
    </row>
    <row r="162" spans="1:6" hidden="1" x14ac:dyDescent="0.25">
      <c r="A162" t="s">
        <v>160</v>
      </c>
      <c r="B162" t="s">
        <v>7</v>
      </c>
      <c r="C162" t="s">
        <v>171</v>
      </c>
      <c r="D162">
        <v>1000</v>
      </c>
      <c r="E162">
        <v>2126</v>
      </c>
      <c r="F162">
        <v>5.45</v>
      </c>
    </row>
    <row r="163" spans="1:6" hidden="1" x14ac:dyDescent="0.25">
      <c r="A163" t="s">
        <v>160</v>
      </c>
      <c r="B163" t="s">
        <v>7</v>
      </c>
      <c r="C163" t="s">
        <v>172</v>
      </c>
      <c r="D163">
        <v>300</v>
      </c>
      <c r="E163">
        <v>967</v>
      </c>
      <c r="F163">
        <v>0.4</v>
      </c>
    </row>
    <row r="164" spans="1:6" hidden="1" x14ac:dyDescent="0.25">
      <c r="A164" t="s">
        <v>160</v>
      </c>
      <c r="B164" t="s">
        <v>7</v>
      </c>
      <c r="C164" t="s">
        <v>173</v>
      </c>
      <c r="D164">
        <v>500</v>
      </c>
      <c r="E164">
        <v>1347</v>
      </c>
      <c r="F164">
        <v>1.47</v>
      </c>
    </row>
    <row r="165" spans="1:6" hidden="1" x14ac:dyDescent="0.25">
      <c r="A165" t="s">
        <v>160</v>
      </c>
      <c r="B165" t="s">
        <v>7</v>
      </c>
      <c r="C165" t="s">
        <v>174</v>
      </c>
      <c r="D165">
        <v>700</v>
      </c>
      <c r="E165">
        <v>1705</v>
      </c>
      <c r="F165">
        <v>3.48</v>
      </c>
    </row>
    <row r="166" spans="1:6" hidden="1" x14ac:dyDescent="0.25">
      <c r="A166" t="s">
        <v>160</v>
      </c>
      <c r="B166" t="s">
        <v>7</v>
      </c>
      <c r="C166" t="s">
        <v>175</v>
      </c>
      <c r="D166">
        <v>800</v>
      </c>
      <c r="E166">
        <v>1872</v>
      </c>
      <c r="F166">
        <v>4.21</v>
      </c>
    </row>
    <row r="167" spans="1:6" hidden="1" x14ac:dyDescent="0.25">
      <c r="A167" t="s">
        <v>160</v>
      </c>
      <c r="B167" t="s">
        <v>7</v>
      </c>
      <c r="C167" t="s">
        <v>176</v>
      </c>
      <c r="D167">
        <v>1000</v>
      </c>
      <c r="E167">
        <v>2092</v>
      </c>
      <c r="F167">
        <v>6.96</v>
      </c>
    </row>
    <row r="168" spans="1:6" hidden="1" x14ac:dyDescent="0.25">
      <c r="A168" t="s">
        <v>160</v>
      </c>
      <c r="B168" t="s">
        <v>7</v>
      </c>
      <c r="C168" t="s">
        <v>177</v>
      </c>
      <c r="D168">
        <v>300</v>
      </c>
      <c r="E168">
        <v>1015</v>
      </c>
      <c r="F168">
        <v>0.34</v>
      </c>
    </row>
    <row r="169" spans="1:6" hidden="1" x14ac:dyDescent="0.25">
      <c r="A169" t="s">
        <v>160</v>
      </c>
      <c r="B169" t="s">
        <v>7</v>
      </c>
      <c r="C169" t="s">
        <v>178</v>
      </c>
      <c r="D169">
        <v>500</v>
      </c>
      <c r="E169">
        <v>1295</v>
      </c>
      <c r="F169">
        <v>1.63</v>
      </c>
    </row>
    <row r="170" spans="1:6" hidden="1" x14ac:dyDescent="0.25">
      <c r="A170" t="s">
        <v>160</v>
      </c>
      <c r="B170" t="s">
        <v>7</v>
      </c>
      <c r="C170" t="s">
        <v>179</v>
      </c>
      <c r="D170">
        <v>700</v>
      </c>
      <c r="E170">
        <v>1625</v>
      </c>
      <c r="F170">
        <v>3.67</v>
      </c>
    </row>
    <row r="171" spans="1:6" hidden="1" x14ac:dyDescent="0.25">
      <c r="A171" t="s">
        <v>160</v>
      </c>
      <c r="B171" t="s">
        <v>7</v>
      </c>
      <c r="C171" t="s">
        <v>180</v>
      </c>
      <c r="D171">
        <v>800</v>
      </c>
      <c r="E171">
        <v>1802</v>
      </c>
      <c r="F171">
        <v>4.59</v>
      </c>
    </row>
    <row r="172" spans="1:6" hidden="1" x14ac:dyDescent="0.25">
      <c r="A172" t="s">
        <v>160</v>
      </c>
      <c r="B172" t="s">
        <v>7</v>
      </c>
      <c r="C172" t="s">
        <v>181</v>
      </c>
      <c r="D172">
        <v>1000</v>
      </c>
      <c r="E172">
        <v>2106</v>
      </c>
      <c r="F172">
        <v>6.62</v>
      </c>
    </row>
    <row r="173" spans="1:6" hidden="1" x14ac:dyDescent="0.25">
      <c r="A173" t="s">
        <v>160</v>
      </c>
      <c r="B173" t="s">
        <v>7</v>
      </c>
      <c r="C173" t="s">
        <v>182</v>
      </c>
      <c r="D173">
        <v>300</v>
      </c>
      <c r="E173">
        <v>1009</v>
      </c>
      <c r="F173">
        <v>0.36</v>
      </c>
    </row>
    <row r="174" spans="1:6" hidden="1" x14ac:dyDescent="0.25">
      <c r="A174" t="s">
        <v>160</v>
      </c>
      <c r="B174" t="s">
        <v>7</v>
      </c>
      <c r="C174" t="s">
        <v>183</v>
      </c>
      <c r="D174">
        <v>500</v>
      </c>
      <c r="E174">
        <v>1266</v>
      </c>
      <c r="F174">
        <v>1.79</v>
      </c>
    </row>
    <row r="175" spans="1:6" hidden="1" x14ac:dyDescent="0.25">
      <c r="A175" t="s">
        <v>160</v>
      </c>
      <c r="B175" t="s">
        <v>7</v>
      </c>
      <c r="C175" t="s">
        <v>184</v>
      </c>
      <c r="D175">
        <v>700</v>
      </c>
      <c r="E175">
        <v>1595</v>
      </c>
      <c r="F175">
        <v>3.98</v>
      </c>
    </row>
    <row r="176" spans="1:6" hidden="1" x14ac:dyDescent="0.25">
      <c r="A176" t="s">
        <v>160</v>
      </c>
      <c r="B176" t="s">
        <v>7</v>
      </c>
      <c r="C176" t="s">
        <v>185</v>
      </c>
      <c r="D176">
        <v>800</v>
      </c>
      <c r="E176">
        <v>1842</v>
      </c>
      <c r="F176">
        <v>4.6399999999999997</v>
      </c>
    </row>
    <row r="177" spans="1:6" hidden="1" x14ac:dyDescent="0.25">
      <c r="A177" t="s">
        <v>160</v>
      </c>
      <c r="B177" t="s">
        <v>7</v>
      </c>
      <c r="C177" t="s">
        <v>186</v>
      </c>
      <c r="D177">
        <v>1000</v>
      </c>
      <c r="E177">
        <v>2078</v>
      </c>
      <c r="F177">
        <v>6.92</v>
      </c>
    </row>
    <row r="178" spans="1:6" hidden="1" x14ac:dyDescent="0.25">
      <c r="A178" t="s">
        <v>160</v>
      </c>
      <c r="B178" t="s">
        <v>7</v>
      </c>
      <c r="C178" t="s">
        <v>187</v>
      </c>
      <c r="D178">
        <v>300</v>
      </c>
      <c r="E178">
        <v>1044</v>
      </c>
      <c r="F178">
        <v>0.28999999999999998</v>
      </c>
    </row>
    <row r="179" spans="1:6" hidden="1" x14ac:dyDescent="0.25">
      <c r="A179" t="s">
        <v>160</v>
      </c>
      <c r="B179" t="s">
        <v>7</v>
      </c>
      <c r="C179" t="s">
        <v>188</v>
      </c>
      <c r="D179">
        <v>500</v>
      </c>
      <c r="E179">
        <v>1315</v>
      </c>
      <c r="F179">
        <v>1.73</v>
      </c>
    </row>
    <row r="180" spans="1:6" hidden="1" x14ac:dyDescent="0.25">
      <c r="A180" t="s">
        <v>160</v>
      </c>
      <c r="B180" t="s">
        <v>7</v>
      </c>
      <c r="C180" t="s">
        <v>189</v>
      </c>
      <c r="D180">
        <v>700</v>
      </c>
      <c r="E180">
        <v>1592</v>
      </c>
      <c r="F180">
        <v>3.2</v>
      </c>
    </row>
    <row r="181" spans="1:6" hidden="1" x14ac:dyDescent="0.25">
      <c r="A181" t="s">
        <v>160</v>
      </c>
      <c r="B181" t="s">
        <v>7</v>
      </c>
      <c r="C181" t="s">
        <v>190</v>
      </c>
      <c r="D181">
        <v>800</v>
      </c>
      <c r="E181">
        <v>1832</v>
      </c>
      <c r="F181">
        <v>3.47</v>
      </c>
    </row>
    <row r="182" spans="1:6" hidden="1" x14ac:dyDescent="0.25">
      <c r="A182" t="s">
        <v>160</v>
      </c>
      <c r="B182" t="s">
        <v>7</v>
      </c>
      <c r="C182" t="s">
        <v>191</v>
      </c>
      <c r="D182">
        <v>1000</v>
      </c>
      <c r="E182">
        <v>2070</v>
      </c>
      <c r="F182">
        <v>5.78</v>
      </c>
    </row>
    <row r="183" spans="1:6" hidden="1" x14ac:dyDescent="0.25">
      <c r="A183" t="s">
        <v>160</v>
      </c>
      <c r="B183" t="s">
        <v>7</v>
      </c>
      <c r="C183" t="s">
        <v>192</v>
      </c>
      <c r="D183">
        <v>300</v>
      </c>
      <c r="E183">
        <v>1035</v>
      </c>
      <c r="F183">
        <v>0.28999999999999998</v>
      </c>
    </row>
    <row r="184" spans="1:6" hidden="1" x14ac:dyDescent="0.25">
      <c r="A184" t="s">
        <v>160</v>
      </c>
      <c r="B184" t="s">
        <v>7</v>
      </c>
      <c r="C184" t="s">
        <v>193</v>
      </c>
      <c r="D184">
        <v>500</v>
      </c>
      <c r="E184">
        <v>1365</v>
      </c>
      <c r="F184">
        <v>1.26</v>
      </c>
    </row>
    <row r="185" spans="1:6" hidden="1" x14ac:dyDescent="0.25">
      <c r="A185" t="s">
        <v>160</v>
      </c>
      <c r="B185" t="s">
        <v>7</v>
      </c>
      <c r="C185" t="s">
        <v>194</v>
      </c>
      <c r="D185">
        <v>700</v>
      </c>
      <c r="E185">
        <v>1695</v>
      </c>
      <c r="F185">
        <v>3.19</v>
      </c>
    </row>
    <row r="186" spans="1:6" hidden="1" x14ac:dyDescent="0.25">
      <c r="A186" t="s">
        <v>160</v>
      </c>
      <c r="B186" t="s">
        <v>7</v>
      </c>
      <c r="C186" t="s">
        <v>195</v>
      </c>
      <c r="D186">
        <v>800</v>
      </c>
      <c r="E186">
        <v>1762</v>
      </c>
      <c r="F186">
        <v>4.13</v>
      </c>
    </row>
    <row r="187" spans="1:6" hidden="1" x14ac:dyDescent="0.25">
      <c r="A187" t="s">
        <v>160</v>
      </c>
      <c r="B187" t="s">
        <v>7</v>
      </c>
      <c r="C187" t="s">
        <v>196</v>
      </c>
      <c r="D187">
        <v>1000</v>
      </c>
      <c r="E187">
        <v>2152</v>
      </c>
      <c r="F187">
        <v>5.87</v>
      </c>
    </row>
    <row r="188" spans="1:6" hidden="1" x14ac:dyDescent="0.25">
      <c r="A188" t="s">
        <v>160</v>
      </c>
      <c r="B188" t="s">
        <v>7</v>
      </c>
      <c r="C188" t="s">
        <v>197</v>
      </c>
      <c r="D188">
        <v>300</v>
      </c>
      <c r="E188">
        <v>985</v>
      </c>
      <c r="F188">
        <v>0.34</v>
      </c>
    </row>
    <row r="189" spans="1:6" hidden="1" x14ac:dyDescent="0.25">
      <c r="A189" t="s">
        <v>160</v>
      </c>
      <c r="B189" t="s">
        <v>7</v>
      </c>
      <c r="C189" t="s">
        <v>198</v>
      </c>
      <c r="D189">
        <v>500</v>
      </c>
      <c r="E189">
        <v>1316</v>
      </c>
      <c r="F189">
        <v>1.42</v>
      </c>
    </row>
    <row r="190" spans="1:6" hidden="1" x14ac:dyDescent="0.25">
      <c r="A190" t="s">
        <v>160</v>
      </c>
      <c r="B190" t="s">
        <v>7</v>
      </c>
      <c r="C190" t="s">
        <v>199</v>
      </c>
      <c r="D190">
        <v>700</v>
      </c>
      <c r="E190">
        <v>1655</v>
      </c>
      <c r="F190">
        <v>3.61</v>
      </c>
    </row>
    <row r="191" spans="1:6" hidden="1" x14ac:dyDescent="0.25">
      <c r="A191" t="s">
        <v>160</v>
      </c>
      <c r="B191" t="s">
        <v>7</v>
      </c>
      <c r="C191" t="s">
        <v>200</v>
      </c>
      <c r="D191">
        <v>800</v>
      </c>
      <c r="E191">
        <v>1752</v>
      </c>
      <c r="F191">
        <v>4.3600000000000003</v>
      </c>
    </row>
    <row r="192" spans="1:6" hidden="1" x14ac:dyDescent="0.25">
      <c r="A192" t="s">
        <v>160</v>
      </c>
      <c r="B192" t="s">
        <v>7</v>
      </c>
      <c r="C192" t="s">
        <v>201</v>
      </c>
      <c r="D192">
        <v>1000</v>
      </c>
      <c r="E192">
        <v>2092</v>
      </c>
      <c r="F192">
        <v>5.93</v>
      </c>
    </row>
    <row r="193" spans="1:6" hidden="1" x14ac:dyDescent="0.25">
      <c r="A193" t="s">
        <v>160</v>
      </c>
      <c r="B193" t="s">
        <v>7</v>
      </c>
      <c r="C193" t="s">
        <v>202</v>
      </c>
      <c r="D193">
        <v>300</v>
      </c>
      <c r="E193">
        <v>995</v>
      </c>
      <c r="F193">
        <v>0.37</v>
      </c>
    </row>
    <row r="194" spans="1:6" hidden="1" x14ac:dyDescent="0.25">
      <c r="A194" t="s">
        <v>160</v>
      </c>
      <c r="B194" t="s">
        <v>7</v>
      </c>
      <c r="C194" t="s">
        <v>203</v>
      </c>
      <c r="D194">
        <v>500</v>
      </c>
      <c r="E194">
        <v>1299</v>
      </c>
      <c r="F194">
        <v>1.56</v>
      </c>
    </row>
    <row r="195" spans="1:6" hidden="1" x14ac:dyDescent="0.25">
      <c r="A195" t="s">
        <v>160</v>
      </c>
      <c r="B195" t="s">
        <v>7</v>
      </c>
      <c r="C195" t="s">
        <v>204</v>
      </c>
      <c r="D195">
        <v>700</v>
      </c>
      <c r="E195">
        <v>1610</v>
      </c>
      <c r="F195">
        <v>3.63</v>
      </c>
    </row>
    <row r="196" spans="1:6" hidden="1" x14ac:dyDescent="0.25">
      <c r="A196" t="s">
        <v>160</v>
      </c>
      <c r="B196" t="s">
        <v>7</v>
      </c>
      <c r="C196" t="s">
        <v>205</v>
      </c>
      <c r="D196">
        <v>800</v>
      </c>
      <c r="E196">
        <v>1767</v>
      </c>
      <c r="F196">
        <v>4.01</v>
      </c>
    </row>
    <row r="197" spans="1:6" hidden="1" x14ac:dyDescent="0.25">
      <c r="A197" t="s">
        <v>160</v>
      </c>
      <c r="B197" t="s">
        <v>7</v>
      </c>
      <c r="C197" t="s">
        <v>206</v>
      </c>
      <c r="D197">
        <v>1000</v>
      </c>
      <c r="E197">
        <v>2041</v>
      </c>
      <c r="F197">
        <v>6.44</v>
      </c>
    </row>
    <row r="198" spans="1:6" hidden="1" x14ac:dyDescent="0.25">
      <c r="A198" t="s">
        <v>160</v>
      </c>
      <c r="B198" t="s">
        <v>7</v>
      </c>
      <c r="C198" t="s">
        <v>207</v>
      </c>
      <c r="D198">
        <v>300</v>
      </c>
      <c r="E198">
        <v>985</v>
      </c>
      <c r="F198">
        <v>0.38</v>
      </c>
    </row>
    <row r="199" spans="1:6" hidden="1" x14ac:dyDescent="0.25">
      <c r="A199" t="s">
        <v>160</v>
      </c>
      <c r="B199" t="s">
        <v>7</v>
      </c>
      <c r="C199" t="s">
        <v>208</v>
      </c>
      <c r="D199">
        <v>500</v>
      </c>
      <c r="E199">
        <v>1315</v>
      </c>
      <c r="F199">
        <v>1.59</v>
      </c>
    </row>
    <row r="200" spans="1:6" hidden="1" x14ac:dyDescent="0.25">
      <c r="A200" t="s">
        <v>160</v>
      </c>
      <c r="B200" t="s">
        <v>7</v>
      </c>
      <c r="C200" t="s">
        <v>209</v>
      </c>
      <c r="D200">
        <v>700</v>
      </c>
      <c r="E200">
        <v>1645</v>
      </c>
      <c r="F200">
        <v>3.62</v>
      </c>
    </row>
    <row r="201" spans="1:6" hidden="1" x14ac:dyDescent="0.25">
      <c r="A201" t="s">
        <v>160</v>
      </c>
      <c r="B201" t="s">
        <v>7</v>
      </c>
      <c r="C201" t="s">
        <v>210</v>
      </c>
      <c r="D201">
        <v>800</v>
      </c>
      <c r="E201">
        <v>1762</v>
      </c>
      <c r="F201">
        <v>4.32</v>
      </c>
    </row>
    <row r="202" spans="1:6" hidden="1" x14ac:dyDescent="0.25">
      <c r="A202" t="s">
        <v>160</v>
      </c>
      <c r="B202" t="s">
        <v>58</v>
      </c>
      <c r="C202" t="s">
        <v>211</v>
      </c>
      <c r="D202">
        <v>1000</v>
      </c>
      <c r="E202">
        <v>2122</v>
      </c>
      <c r="F202">
        <v>6.15</v>
      </c>
    </row>
    <row r="203" spans="1:6" hidden="1" x14ac:dyDescent="0.25">
      <c r="A203" t="s">
        <v>160</v>
      </c>
      <c r="B203" t="s">
        <v>58</v>
      </c>
      <c r="C203" t="s">
        <v>212</v>
      </c>
      <c r="D203">
        <v>300</v>
      </c>
      <c r="E203">
        <v>905</v>
      </c>
      <c r="F203">
        <v>0.34</v>
      </c>
    </row>
    <row r="204" spans="1:6" hidden="1" x14ac:dyDescent="0.25">
      <c r="A204" t="s">
        <v>160</v>
      </c>
      <c r="B204" t="s">
        <v>58</v>
      </c>
      <c r="C204" t="s">
        <v>213</v>
      </c>
      <c r="D204">
        <v>500</v>
      </c>
      <c r="E204">
        <v>1285</v>
      </c>
      <c r="F204">
        <v>1.55</v>
      </c>
    </row>
    <row r="205" spans="1:6" hidden="1" x14ac:dyDescent="0.25">
      <c r="A205" t="s">
        <v>160</v>
      </c>
      <c r="B205" t="s">
        <v>58</v>
      </c>
      <c r="C205" t="s">
        <v>214</v>
      </c>
      <c r="D205">
        <v>700</v>
      </c>
      <c r="E205">
        <v>1605</v>
      </c>
      <c r="F205">
        <v>3.67</v>
      </c>
    </row>
    <row r="206" spans="1:6" hidden="1" x14ac:dyDescent="0.25">
      <c r="A206" t="s">
        <v>160</v>
      </c>
      <c r="B206" t="s">
        <v>58</v>
      </c>
      <c r="C206" t="s">
        <v>215</v>
      </c>
      <c r="D206">
        <v>800</v>
      </c>
      <c r="E206">
        <v>1812</v>
      </c>
      <c r="F206">
        <v>4.3499999999999996</v>
      </c>
    </row>
    <row r="207" spans="1:6" hidden="1" x14ac:dyDescent="0.25">
      <c r="A207" t="s">
        <v>160</v>
      </c>
      <c r="B207" t="s">
        <v>58</v>
      </c>
      <c r="C207" t="s">
        <v>216</v>
      </c>
      <c r="D207">
        <v>1000</v>
      </c>
      <c r="E207">
        <v>2082</v>
      </c>
      <c r="F207">
        <v>6.14</v>
      </c>
    </row>
    <row r="208" spans="1:6" hidden="1" x14ac:dyDescent="0.25">
      <c r="A208" t="s">
        <v>160</v>
      </c>
      <c r="B208" t="s">
        <v>58</v>
      </c>
      <c r="C208" t="s">
        <v>217</v>
      </c>
      <c r="D208">
        <v>300</v>
      </c>
      <c r="E208">
        <v>995</v>
      </c>
      <c r="F208">
        <v>0.39</v>
      </c>
    </row>
    <row r="209" spans="1:6" hidden="1" x14ac:dyDescent="0.25">
      <c r="A209" t="s">
        <v>160</v>
      </c>
      <c r="B209" t="s">
        <v>58</v>
      </c>
      <c r="C209" t="s">
        <v>218</v>
      </c>
      <c r="D209">
        <v>500</v>
      </c>
      <c r="E209">
        <v>1335</v>
      </c>
      <c r="F209">
        <v>1.44</v>
      </c>
    </row>
    <row r="210" spans="1:6" hidden="1" x14ac:dyDescent="0.25">
      <c r="A210" t="s">
        <v>160</v>
      </c>
      <c r="B210" t="s">
        <v>58</v>
      </c>
      <c r="C210" t="s">
        <v>219</v>
      </c>
      <c r="D210">
        <v>700</v>
      </c>
      <c r="E210">
        <v>1625</v>
      </c>
      <c r="F210">
        <v>3.69</v>
      </c>
    </row>
    <row r="211" spans="1:6" hidden="1" x14ac:dyDescent="0.25">
      <c r="A211" t="s">
        <v>160</v>
      </c>
      <c r="B211" t="s">
        <v>58</v>
      </c>
      <c r="C211" t="s">
        <v>220</v>
      </c>
      <c r="D211">
        <v>800</v>
      </c>
      <c r="E211">
        <v>1812</v>
      </c>
      <c r="F211">
        <v>4.12</v>
      </c>
    </row>
    <row r="212" spans="1:6" hidden="1" x14ac:dyDescent="0.25">
      <c r="A212" t="s">
        <v>160</v>
      </c>
      <c r="B212" t="s">
        <v>58</v>
      </c>
      <c r="C212" t="s">
        <v>221</v>
      </c>
      <c r="D212">
        <v>1000</v>
      </c>
      <c r="E212">
        <v>2062</v>
      </c>
      <c r="F212">
        <v>6.34</v>
      </c>
    </row>
    <row r="213" spans="1:6" hidden="1" x14ac:dyDescent="0.25">
      <c r="A213" t="s">
        <v>160</v>
      </c>
      <c r="B213" t="s">
        <v>58</v>
      </c>
      <c r="C213" t="s">
        <v>222</v>
      </c>
      <c r="D213">
        <v>300</v>
      </c>
      <c r="E213">
        <v>945</v>
      </c>
      <c r="F213">
        <v>0.35</v>
      </c>
    </row>
    <row r="214" spans="1:6" hidden="1" x14ac:dyDescent="0.25">
      <c r="A214" t="s">
        <v>160</v>
      </c>
      <c r="B214" t="s">
        <v>58</v>
      </c>
      <c r="C214" t="s">
        <v>223</v>
      </c>
      <c r="D214">
        <v>500</v>
      </c>
      <c r="E214">
        <v>1325</v>
      </c>
      <c r="F214">
        <v>1.59</v>
      </c>
    </row>
    <row r="215" spans="1:6" hidden="1" x14ac:dyDescent="0.25">
      <c r="A215" t="s">
        <v>160</v>
      </c>
      <c r="B215" t="s">
        <v>58</v>
      </c>
      <c r="C215" t="s">
        <v>224</v>
      </c>
      <c r="D215">
        <v>700</v>
      </c>
      <c r="E215">
        <v>1665</v>
      </c>
      <c r="F215">
        <v>3.34</v>
      </c>
    </row>
    <row r="216" spans="1:6" hidden="1" x14ac:dyDescent="0.25">
      <c r="A216" t="s">
        <v>160</v>
      </c>
      <c r="B216" t="s">
        <v>58</v>
      </c>
      <c r="C216" t="s">
        <v>225</v>
      </c>
      <c r="D216">
        <v>800</v>
      </c>
      <c r="E216">
        <v>1712</v>
      </c>
      <c r="F216">
        <v>4.67</v>
      </c>
    </row>
    <row r="217" spans="1:6" hidden="1" x14ac:dyDescent="0.25">
      <c r="A217" t="s">
        <v>160</v>
      </c>
      <c r="B217" t="s">
        <v>58</v>
      </c>
      <c r="C217" t="s">
        <v>226</v>
      </c>
      <c r="D217">
        <v>1000</v>
      </c>
      <c r="E217">
        <v>2132</v>
      </c>
      <c r="F217">
        <v>6.44</v>
      </c>
    </row>
    <row r="218" spans="1:6" hidden="1" x14ac:dyDescent="0.25">
      <c r="A218" t="s">
        <v>160</v>
      </c>
      <c r="B218" t="s">
        <v>58</v>
      </c>
      <c r="C218" t="s">
        <v>227</v>
      </c>
      <c r="D218">
        <v>300</v>
      </c>
      <c r="E218">
        <v>945</v>
      </c>
      <c r="F218">
        <v>0.37</v>
      </c>
    </row>
    <row r="219" spans="1:6" hidden="1" x14ac:dyDescent="0.25">
      <c r="A219" t="s">
        <v>160</v>
      </c>
      <c r="B219" t="s">
        <v>58</v>
      </c>
      <c r="C219" t="s">
        <v>228</v>
      </c>
      <c r="D219">
        <v>500</v>
      </c>
      <c r="E219">
        <v>1325</v>
      </c>
      <c r="F219">
        <v>1.51</v>
      </c>
    </row>
    <row r="220" spans="1:6" hidden="1" x14ac:dyDescent="0.25">
      <c r="A220" t="s">
        <v>160</v>
      </c>
      <c r="B220" t="s">
        <v>58</v>
      </c>
      <c r="C220" t="s">
        <v>229</v>
      </c>
      <c r="D220">
        <v>700</v>
      </c>
      <c r="E220">
        <v>1665</v>
      </c>
      <c r="F220">
        <v>3.42</v>
      </c>
    </row>
    <row r="221" spans="1:6" hidden="1" x14ac:dyDescent="0.25">
      <c r="A221" t="s">
        <v>160</v>
      </c>
      <c r="B221" t="s">
        <v>58</v>
      </c>
      <c r="C221" t="s">
        <v>230</v>
      </c>
      <c r="D221">
        <v>800</v>
      </c>
      <c r="E221">
        <v>1802</v>
      </c>
      <c r="F221">
        <v>4.04</v>
      </c>
    </row>
    <row r="222" spans="1:6" hidden="1" x14ac:dyDescent="0.25">
      <c r="A222" t="s">
        <v>160</v>
      </c>
      <c r="B222" t="s">
        <v>58</v>
      </c>
      <c r="C222" t="s">
        <v>231</v>
      </c>
      <c r="D222">
        <v>1000</v>
      </c>
      <c r="E222">
        <v>2242</v>
      </c>
      <c r="F222">
        <v>5.84</v>
      </c>
    </row>
    <row r="223" spans="1:6" hidden="1" x14ac:dyDescent="0.25">
      <c r="A223" t="s">
        <v>160</v>
      </c>
      <c r="B223" t="s">
        <v>58</v>
      </c>
      <c r="C223" t="s">
        <v>232</v>
      </c>
      <c r="D223">
        <v>300</v>
      </c>
      <c r="E223">
        <v>965</v>
      </c>
      <c r="F223">
        <v>0.34</v>
      </c>
    </row>
    <row r="224" spans="1:6" hidden="1" x14ac:dyDescent="0.25">
      <c r="A224" t="s">
        <v>160</v>
      </c>
      <c r="B224" t="s">
        <v>58</v>
      </c>
      <c r="C224" t="s">
        <v>233</v>
      </c>
      <c r="D224">
        <v>500</v>
      </c>
      <c r="E224">
        <v>1375</v>
      </c>
      <c r="F224">
        <v>1.5</v>
      </c>
    </row>
    <row r="225" spans="1:6" hidden="1" x14ac:dyDescent="0.25">
      <c r="A225" t="s">
        <v>160</v>
      </c>
      <c r="B225" t="s">
        <v>58</v>
      </c>
      <c r="C225" t="s">
        <v>234</v>
      </c>
      <c r="D225">
        <v>700</v>
      </c>
      <c r="E225">
        <v>1595</v>
      </c>
      <c r="F225">
        <v>3.89</v>
      </c>
    </row>
    <row r="226" spans="1:6" hidden="1" x14ac:dyDescent="0.25">
      <c r="A226" t="s">
        <v>160</v>
      </c>
      <c r="B226" t="s">
        <v>58</v>
      </c>
      <c r="C226" t="s">
        <v>235</v>
      </c>
      <c r="D226">
        <v>800</v>
      </c>
      <c r="E226">
        <v>1782</v>
      </c>
      <c r="F226">
        <v>4.2</v>
      </c>
    </row>
    <row r="227" spans="1:6" hidden="1" x14ac:dyDescent="0.25">
      <c r="A227" t="s">
        <v>160</v>
      </c>
      <c r="B227" t="s">
        <v>58</v>
      </c>
      <c r="C227" t="s">
        <v>236</v>
      </c>
      <c r="D227">
        <v>1000</v>
      </c>
      <c r="E227">
        <v>2132</v>
      </c>
      <c r="F227">
        <v>6.23</v>
      </c>
    </row>
    <row r="228" spans="1:6" hidden="1" x14ac:dyDescent="0.25">
      <c r="A228" t="s">
        <v>160</v>
      </c>
      <c r="B228" t="s">
        <v>58</v>
      </c>
      <c r="C228" t="s">
        <v>237</v>
      </c>
      <c r="D228">
        <v>300</v>
      </c>
      <c r="E228">
        <v>985</v>
      </c>
      <c r="F228">
        <v>0.35</v>
      </c>
    </row>
    <row r="229" spans="1:6" hidden="1" x14ac:dyDescent="0.25">
      <c r="A229" t="s">
        <v>160</v>
      </c>
      <c r="B229" t="s">
        <v>58</v>
      </c>
      <c r="C229" t="s">
        <v>238</v>
      </c>
      <c r="D229">
        <v>500</v>
      </c>
      <c r="E229">
        <v>1285</v>
      </c>
      <c r="F229">
        <v>1.8</v>
      </c>
    </row>
    <row r="230" spans="1:6" hidden="1" x14ac:dyDescent="0.25">
      <c r="A230" t="s">
        <v>160</v>
      </c>
      <c r="B230" t="s">
        <v>58</v>
      </c>
      <c r="C230" t="s">
        <v>239</v>
      </c>
      <c r="D230">
        <v>700</v>
      </c>
      <c r="E230">
        <v>1655</v>
      </c>
      <c r="F230">
        <v>3.78</v>
      </c>
    </row>
    <row r="231" spans="1:6" hidden="1" x14ac:dyDescent="0.25">
      <c r="A231" t="s">
        <v>160</v>
      </c>
      <c r="B231" t="s">
        <v>58</v>
      </c>
      <c r="C231" t="s">
        <v>240</v>
      </c>
      <c r="D231">
        <v>800</v>
      </c>
      <c r="E231">
        <v>1732</v>
      </c>
      <c r="F231">
        <v>4.26</v>
      </c>
    </row>
    <row r="232" spans="1:6" hidden="1" x14ac:dyDescent="0.25">
      <c r="A232" t="s">
        <v>160</v>
      </c>
      <c r="B232" t="s">
        <v>58</v>
      </c>
      <c r="C232" t="s">
        <v>241</v>
      </c>
      <c r="D232">
        <v>1000</v>
      </c>
      <c r="E232">
        <v>2122</v>
      </c>
      <c r="F232">
        <v>6.63</v>
      </c>
    </row>
    <row r="233" spans="1:6" hidden="1" x14ac:dyDescent="0.25">
      <c r="A233" t="s">
        <v>160</v>
      </c>
      <c r="B233" t="s">
        <v>58</v>
      </c>
      <c r="C233" t="s">
        <v>242</v>
      </c>
      <c r="D233">
        <v>300</v>
      </c>
      <c r="E233">
        <v>945</v>
      </c>
      <c r="F233">
        <v>0.61</v>
      </c>
    </row>
    <row r="234" spans="1:6" hidden="1" x14ac:dyDescent="0.25">
      <c r="A234" t="s">
        <v>160</v>
      </c>
      <c r="B234" t="s">
        <v>58</v>
      </c>
      <c r="C234" t="s">
        <v>243</v>
      </c>
      <c r="D234">
        <v>500</v>
      </c>
      <c r="E234">
        <v>1275</v>
      </c>
      <c r="F234">
        <v>1.95</v>
      </c>
    </row>
    <row r="235" spans="1:6" hidden="1" x14ac:dyDescent="0.25">
      <c r="A235" t="s">
        <v>160</v>
      </c>
      <c r="B235" t="s">
        <v>58</v>
      </c>
      <c r="C235" t="s">
        <v>244</v>
      </c>
      <c r="D235">
        <v>700</v>
      </c>
      <c r="E235">
        <v>1635</v>
      </c>
      <c r="F235">
        <v>3.8</v>
      </c>
    </row>
    <row r="236" spans="1:6" hidden="1" x14ac:dyDescent="0.25">
      <c r="A236" t="s">
        <v>160</v>
      </c>
      <c r="B236" t="s">
        <v>58</v>
      </c>
      <c r="C236" t="s">
        <v>245</v>
      </c>
      <c r="D236">
        <v>800</v>
      </c>
      <c r="E236">
        <v>1802</v>
      </c>
      <c r="F236">
        <v>4.55</v>
      </c>
    </row>
    <row r="237" spans="1:6" hidden="1" x14ac:dyDescent="0.25">
      <c r="A237" t="s">
        <v>160</v>
      </c>
      <c r="B237" t="s">
        <v>58</v>
      </c>
      <c r="C237" t="s">
        <v>246</v>
      </c>
      <c r="D237">
        <v>1000</v>
      </c>
      <c r="E237">
        <v>2172</v>
      </c>
      <c r="F237">
        <v>6.58</v>
      </c>
    </row>
    <row r="238" spans="1:6" hidden="1" x14ac:dyDescent="0.25">
      <c r="A238" t="s">
        <v>160</v>
      </c>
      <c r="B238" t="s">
        <v>58</v>
      </c>
      <c r="C238" t="s">
        <v>247</v>
      </c>
      <c r="D238">
        <v>300</v>
      </c>
      <c r="E238">
        <v>965</v>
      </c>
      <c r="F238">
        <v>0.46</v>
      </c>
    </row>
    <row r="239" spans="1:6" hidden="1" x14ac:dyDescent="0.25">
      <c r="A239" t="s">
        <v>160</v>
      </c>
      <c r="B239" t="s">
        <v>58</v>
      </c>
      <c r="C239" t="s">
        <v>248</v>
      </c>
      <c r="D239">
        <v>500</v>
      </c>
      <c r="E239">
        <v>1385</v>
      </c>
      <c r="F239">
        <v>1.39</v>
      </c>
    </row>
    <row r="240" spans="1:6" hidden="1" x14ac:dyDescent="0.25">
      <c r="A240" t="s">
        <v>160</v>
      </c>
      <c r="B240" t="s">
        <v>58</v>
      </c>
      <c r="C240" t="s">
        <v>249</v>
      </c>
      <c r="D240">
        <v>700</v>
      </c>
      <c r="E240">
        <v>1705</v>
      </c>
      <c r="F240">
        <v>3.85</v>
      </c>
    </row>
    <row r="241" spans="1:6" hidden="1" x14ac:dyDescent="0.25">
      <c r="A241" t="s">
        <v>160</v>
      </c>
      <c r="B241" t="s">
        <v>58</v>
      </c>
      <c r="C241" t="s">
        <v>250</v>
      </c>
      <c r="D241">
        <v>800</v>
      </c>
      <c r="E241">
        <v>1762</v>
      </c>
      <c r="F241">
        <v>4.3099999999999996</v>
      </c>
    </row>
    <row r="242" spans="1:6" hidden="1" x14ac:dyDescent="0.25">
      <c r="A242" t="s">
        <v>160</v>
      </c>
      <c r="B242" t="s">
        <v>58</v>
      </c>
      <c r="C242" t="s">
        <v>251</v>
      </c>
      <c r="D242">
        <v>1000</v>
      </c>
      <c r="E242">
        <v>2112</v>
      </c>
      <c r="F242">
        <v>6.59</v>
      </c>
    </row>
    <row r="243" spans="1:6" hidden="1" x14ac:dyDescent="0.25">
      <c r="A243" t="s">
        <v>160</v>
      </c>
      <c r="B243" t="s">
        <v>58</v>
      </c>
      <c r="C243" t="s">
        <v>252</v>
      </c>
      <c r="D243">
        <v>300</v>
      </c>
      <c r="E243">
        <v>945</v>
      </c>
      <c r="F243">
        <v>0.43</v>
      </c>
    </row>
    <row r="244" spans="1:6" hidden="1" x14ac:dyDescent="0.25">
      <c r="A244" t="s">
        <v>160</v>
      </c>
      <c r="B244" t="s">
        <v>58</v>
      </c>
      <c r="C244" t="s">
        <v>253</v>
      </c>
      <c r="D244">
        <v>500</v>
      </c>
      <c r="E244">
        <v>1265</v>
      </c>
      <c r="F244">
        <v>1.89</v>
      </c>
    </row>
    <row r="245" spans="1:6" hidden="1" x14ac:dyDescent="0.25">
      <c r="A245" t="s">
        <v>160</v>
      </c>
      <c r="B245" t="s">
        <v>58</v>
      </c>
      <c r="C245" t="s">
        <v>254</v>
      </c>
      <c r="D245">
        <v>700</v>
      </c>
      <c r="E245">
        <v>1685</v>
      </c>
      <c r="F245">
        <v>3.7</v>
      </c>
    </row>
    <row r="246" spans="1:6" hidden="1" x14ac:dyDescent="0.25">
      <c r="A246" t="s">
        <v>160</v>
      </c>
      <c r="B246" t="s">
        <v>58</v>
      </c>
      <c r="C246" t="s">
        <v>255</v>
      </c>
      <c r="D246">
        <v>800</v>
      </c>
      <c r="E246">
        <v>1782</v>
      </c>
      <c r="F246">
        <v>4.34</v>
      </c>
    </row>
    <row r="247" spans="1:6" hidden="1" x14ac:dyDescent="0.25">
      <c r="A247" t="s">
        <v>160</v>
      </c>
      <c r="B247" t="s">
        <v>58</v>
      </c>
      <c r="C247" t="s">
        <v>256</v>
      </c>
      <c r="D247">
        <v>1000</v>
      </c>
      <c r="E247">
        <v>2112</v>
      </c>
      <c r="F247">
        <v>7.59</v>
      </c>
    </row>
    <row r="248" spans="1:6" hidden="1" x14ac:dyDescent="0.25">
      <c r="A248" t="s">
        <v>160</v>
      </c>
      <c r="B248" t="s">
        <v>58</v>
      </c>
      <c r="C248" t="s">
        <v>257</v>
      </c>
      <c r="D248">
        <v>300</v>
      </c>
      <c r="E248">
        <v>915</v>
      </c>
      <c r="F248">
        <v>0.45</v>
      </c>
    </row>
    <row r="249" spans="1:6" hidden="1" x14ac:dyDescent="0.25">
      <c r="A249" t="s">
        <v>160</v>
      </c>
      <c r="B249" t="s">
        <v>58</v>
      </c>
      <c r="C249" t="s">
        <v>258</v>
      </c>
      <c r="D249">
        <v>500</v>
      </c>
      <c r="E249">
        <v>1265</v>
      </c>
      <c r="F249">
        <v>1.83</v>
      </c>
    </row>
    <row r="250" spans="1:6" hidden="1" x14ac:dyDescent="0.25">
      <c r="A250" t="s">
        <v>160</v>
      </c>
      <c r="B250" t="s">
        <v>58</v>
      </c>
      <c r="C250" t="s">
        <v>259</v>
      </c>
      <c r="D250">
        <v>700</v>
      </c>
      <c r="E250">
        <v>1635</v>
      </c>
      <c r="F250">
        <v>3.52</v>
      </c>
    </row>
    <row r="251" spans="1:6" hidden="1" x14ac:dyDescent="0.25">
      <c r="A251" t="s">
        <v>160</v>
      </c>
      <c r="B251" t="s">
        <v>58</v>
      </c>
      <c r="C251" t="s">
        <v>260</v>
      </c>
      <c r="D251">
        <v>800</v>
      </c>
      <c r="E251">
        <v>1812</v>
      </c>
      <c r="F251">
        <v>3.78</v>
      </c>
    </row>
    <row r="252" spans="1:6" hidden="1" x14ac:dyDescent="0.25">
      <c r="A252" t="s">
        <v>160</v>
      </c>
      <c r="B252" t="s">
        <v>109</v>
      </c>
      <c r="C252" t="s">
        <v>261</v>
      </c>
      <c r="D252">
        <v>1000</v>
      </c>
      <c r="E252">
        <v>1618</v>
      </c>
      <c r="F252">
        <v>6.67</v>
      </c>
    </row>
    <row r="253" spans="1:6" hidden="1" x14ac:dyDescent="0.25">
      <c r="A253" t="s">
        <v>160</v>
      </c>
      <c r="B253" t="s">
        <v>109</v>
      </c>
      <c r="C253" t="s">
        <v>262</v>
      </c>
      <c r="D253">
        <v>300</v>
      </c>
      <c r="E253">
        <v>1220</v>
      </c>
      <c r="F253">
        <v>0.36</v>
      </c>
    </row>
    <row r="254" spans="1:6" hidden="1" x14ac:dyDescent="0.25">
      <c r="A254" t="s">
        <v>160</v>
      </c>
      <c r="B254" t="s">
        <v>109</v>
      </c>
      <c r="C254" t="s">
        <v>263</v>
      </c>
      <c r="D254">
        <v>500</v>
      </c>
      <c r="E254">
        <v>1479</v>
      </c>
      <c r="F254">
        <v>1.88</v>
      </c>
    </row>
    <row r="255" spans="1:6" hidden="1" x14ac:dyDescent="0.25">
      <c r="A255" t="s">
        <v>160</v>
      </c>
      <c r="B255" t="s">
        <v>109</v>
      </c>
      <c r="C255" t="s">
        <v>264</v>
      </c>
      <c r="D255">
        <v>700</v>
      </c>
      <c r="E255">
        <v>1638</v>
      </c>
      <c r="F255">
        <v>3.75</v>
      </c>
    </row>
    <row r="256" spans="1:6" hidden="1" x14ac:dyDescent="0.25">
      <c r="A256" t="s">
        <v>160</v>
      </c>
      <c r="B256" t="s">
        <v>109</v>
      </c>
      <c r="C256" t="s">
        <v>265</v>
      </c>
      <c r="D256">
        <v>800</v>
      </c>
      <c r="E256">
        <v>1501</v>
      </c>
      <c r="F256">
        <v>4.26</v>
      </c>
    </row>
    <row r="257" spans="1:6" hidden="1" x14ac:dyDescent="0.25">
      <c r="A257" t="s">
        <v>160</v>
      </c>
      <c r="B257" t="s">
        <v>109</v>
      </c>
      <c r="C257" t="s">
        <v>266</v>
      </c>
      <c r="D257">
        <v>1000</v>
      </c>
      <c r="E257">
        <v>1536</v>
      </c>
      <c r="F257">
        <v>5.85</v>
      </c>
    </row>
    <row r="258" spans="1:6" hidden="1" x14ac:dyDescent="0.25">
      <c r="A258" t="s">
        <v>160</v>
      </c>
      <c r="B258" t="s">
        <v>109</v>
      </c>
      <c r="C258" t="s">
        <v>267</v>
      </c>
      <c r="D258">
        <v>300</v>
      </c>
      <c r="E258">
        <v>1160</v>
      </c>
      <c r="F258">
        <v>0.32</v>
      </c>
    </row>
    <row r="259" spans="1:6" hidden="1" x14ac:dyDescent="0.25">
      <c r="A259" t="s">
        <v>160</v>
      </c>
      <c r="B259" t="s">
        <v>109</v>
      </c>
      <c r="C259" t="s">
        <v>268</v>
      </c>
      <c r="D259">
        <v>500</v>
      </c>
      <c r="E259">
        <v>1454</v>
      </c>
      <c r="F259">
        <v>1.54</v>
      </c>
    </row>
    <row r="260" spans="1:6" hidden="1" x14ac:dyDescent="0.25">
      <c r="A260" t="s">
        <v>160</v>
      </c>
      <c r="B260" t="s">
        <v>109</v>
      </c>
      <c r="C260" t="s">
        <v>269</v>
      </c>
      <c r="D260">
        <v>700</v>
      </c>
      <c r="E260">
        <v>1731</v>
      </c>
      <c r="F260">
        <v>2.99</v>
      </c>
    </row>
    <row r="261" spans="1:6" hidden="1" x14ac:dyDescent="0.25">
      <c r="A261" t="s">
        <v>160</v>
      </c>
      <c r="B261" t="s">
        <v>109</v>
      </c>
      <c r="C261" t="s">
        <v>270</v>
      </c>
      <c r="D261">
        <v>800</v>
      </c>
      <c r="E261">
        <v>1457</v>
      </c>
      <c r="F261">
        <v>4.43</v>
      </c>
    </row>
    <row r="262" spans="1:6" hidden="1" x14ac:dyDescent="0.25">
      <c r="A262" t="s">
        <v>160</v>
      </c>
      <c r="B262" t="s">
        <v>109</v>
      </c>
      <c r="C262" t="s">
        <v>271</v>
      </c>
      <c r="D262">
        <v>1000</v>
      </c>
      <c r="E262">
        <v>1487</v>
      </c>
      <c r="F262">
        <v>6.27</v>
      </c>
    </row>
    <row r="263" spans="1:6" hidden="1" x14ac:dyDescent="0.25">
      <c r="A263" t="s">
        <v>160</v>
      </c>
      <c r="B263" t="s">
        <v>109</v>
      </c>
      <c r="C263" t="s">
        <v>272</v>
      </c>
      <c r="D263">
        <v>300</v>
      </c>
      <c r="E263">
        <v>1285</v>
      </c>
      <c r="F263">
        <v>0.36</v>
      </c>
    </row>
    <row r="264" spans="1:6" hidden="1" x14ac:dyDescent="0.25">
      <c r="A264" t="s">
        <v>160</v>
      </c>
      <c r="B264" t="s">
        <v>109</v>
      </c>
      <c r="C264" t="s">
        <v>273</v>
      </c>
      <c r="D264">
        <v>500</v>
      </c>
      <c r="E264">
        <v>1399</v>
      </c>
      <c r="F264">
        <v>1.75</v>
      </c>
    </row>
    <row r="265" spans="1:6" hidden="1" x14ac:dyDescent="0.25">
      <c r="A265" t="s">
        <v>160</v>
      </c>
      <c r="B265" t="s">
        <v>109</v>
      </c>
      <c r="C265" t="s">
        <v>274</v>
      </c>
      <c r="D265">
        <v>700</v>
      </c>
      <c r="E265">
        <v>1518</v>
      </c>
      <c r="F265">
        <v>3.71</v>
      </c>
    </row>
    <row r="266" spans="1:6" hidden="1" x14ac:dyDescent="0.25">
      <c r="A266" t="s">
        <v>160</v>
      </c>
      <c r="B266" t="s">
        <v>109</v>
      </c>
      <c r="C266" t="s">
        <v>275</v>
      </c>
      <c r="D266">
        <v>800</v>
      </c>
      <c r="E266">
        <v>1610</v>
      </c>
      <c r="F266">
        <v>4.6399999999999997</v>
      </c>
    </row>
    <row r="267" spans="1:6" hidden="1" x14ac:dyDescent="0.25">
      <c r="A267" t="s">
        <v>160</v>
      </c>
      <c r="B267" t="s">
        <v>109</v>
      </c>
      <c r="C267" t="s">
        <v>276</v>
      </c>
      <c r="D267">
        <v>1000</v>
      </c>
      <c r="E267">
        <v>1464</v>
      </c>
      <c r="F267">
        <v>7.19</v>
      </c>
    </row>
    <row r="268" spans="1:6" hidden="1" x14ac:dyDescent="0.25">
      <c r="A268" t="s">
        <v>160</v>
      </c>
      <c r="B268" t="s">
        <v>109</v>
      </c>
      <c r="C268" t="s">
        <v>277</v>
      </c>
      <c r="D268">
        <v>300</v>
      </c>
      <c r="E268">
        <v>1197</v>
      </c>
      <c r="F268">
        <v>0.41</v>
      </c>
    </row>
    <row r="269" spans="1:6" hidden="1" x14ac:dyDescent="0.25">
      <c r="A269" t="s">
        <v>160</v>
      </c>
      <c r="B269" t="s">
        <v>109</v>
      </c>
      <c r="C269" t="s">
        <v>278</v>
      </c>
      <c r="D269">
        <v>500</v>
      </c>
      <c r="E269">
        <v>1377</v>
      </c>
      <c r="F269">
        <v>1.76</v>
      </c>
    </row>
    <row r="270" spans="1:6" hidden="1" x14ac:dyDescent="0.25">
      <c r="A270" t="s">
        <v>160</v>
      </c>
      <c r="B270" t="s">
        <v>109</v>
      </c>
      <c r="C270" t="s">
        <v>279</v>
      </c>
      <c r="D270">
        <v>700</v>
      </c>
      <c r="E270">
        <v>1530</v>
      </c>
      <c r="F270">
        <v>3.62</v>
      </c>
    </row>
    <row r="271" spans="1:6" hidden="1" x14ac:dyDescent="0.25">
      <c r="A271" t="s">
        <v>160</v>
      </c>
      <c r="B271" t="s">
        <v>109</v>
      </c>
      <c r="C271" t="s">
        <v>280</v>
      </c>
      <c r="D271">
        <v>800</v>
      </c>
      <c r="E271">
        <v>1663</v>
      </c>
      <c r="F271">
        <v>4.7300000000000004</v>
      </c>
    </row>
    <row r="272" spans="1:6" hidden="1" x14ac:dyDescent="0.25">
      <c r="A272" t="s">
        <v>160</v>
      </c>
      <c r="B272" t="s">
        <v>109</v>
      </c>
      <c r="C272" t="s">
        <v>281</v>
      </c>
      <c r="D272">
        <v>1000</v>
      </c>
      <c r="E272">
        <v>1740</v>
      </c>
      <c r="F272">
        <v>6.59</v>
      </c>
    </row>
    <row r="273" spans="1:6" hidden="1" x14ac:dyDescent="0.25">
      <c r="A273" t="s">
        <v>160</v>
      </c>
      <c r="B273" t="s">
        <v>109</v>
      </c>
      <c r="C273" t="s">
        <v>282</v>
      </c>
      <c r="D273">
        <v>300</v>
      </c>
      <c r="E273">
        <v>1320</v>
      </c>
      <c r="F273">
        <v>0.34</v>
      </c>
    </row>
    <row r="274" spans="1:6" hidden="1" x14ac:dyDescent="0.25">
      <c r="A274" t="s">
        <v>160</v>
      </c>
      <c r="B274" t="s">
        <v>109</v>
      </c>
      <c r="C274" t="s">
        <v>283</v>
      </c>
      <c r="D274">
        <v>500</v>
      </c>
      <c r="E274">
        <v>1462</v>
      </c>
      <c r="F274">
        <v>1.74</v>
      </c>
    </row>
    <row r="275" spans="1:6" hidden="1" x14ac:dyDescent="0.25">
      <c r="A275" t="s">
        <v>160</v>
      </c>
      <c r="B275" t="s">
        <v>109</v>
      </c>
      <c r="C275" t="s">
        <v>284</v>
      </c>
      <c r="D275">
        <v>700</v>
      </c>
      <c r="E275">
        <v>1480</v>
      </c>
      <c r="F275">
        <v>3.85</v>
      </c>
    </row>
    <row r="276" spans="1:6" hidden="1" x14ac:dyDescent="0.25">
      <c r="A276" t="s">
        <v>160</v>
      </c>
      <c r="B276" t="s">
        <v>109</v>
      </c>
      <c r="C276" t="s">
        <v>285</v>
      </c>
      <c r="D276">
        <v>800</v>
      </c>
      <c r="E276">
        <v>1459</v>
      </c>
      <c r="F276">
        <v>4.4800000000000004</v>
      </c>
    </row>
    <row r="277" spans="1:6" hidden="1" x14ac:dyDescent="0.25">
      <c r="A277" t="s">
        <v>160</v>
      </c>
      <c r="B277" t="s">
        <v>109</v>
      </c>
      <c r="C277" t="s">
        <v>286</v>
      </c>
      <c r="D277">
        <v>1000</v>
      </c>
      <c r="E277">
        <v>1518</v>
      </c>
      <c r="F277">
        <v>6.9</v>
      </c>
    </row>
    <row r="278" spans="1:6" hidden="1" x14ac:dyDescent="0.25">
      <c r="A278" t="s">
        <v>160</v>
      </c>
      <c r="B278" t="s">
        <v>109</v>
      </c>
      <c r="C278" t="s">
        <v>287</v>
      </c>
      <c r="D278">
        <v>300</v>
      </c>
      <c r="E278">
        <v>1276</v>
      </c>
      <c r="F278">
        <v>0.41</v>
      </c>
    </row>
    <row r="279" spans="1:6" hidden="1" x14ac:dyDescent="0.25">
      <c r="A279" t="s">
        <v>160</v>
      </c>
      <c r="B279" t="s">
        <v>109</v>
      </c>
      <c r="C279" t="s">
        <v>288</v>
      </c>
      <c r="D279">
        <v>500</v>
      </c>
      <c r="E279">
        <v>1527</v>
      </c>
      <c r="F279">
        <v>1.63</v>
      </c>
    </row>
    <row r="280" spans="1:6" hidden="1" x14ac:dyDescent="0.25">
      <c r="A280" t="s">
        <v>160</v>
      </c>
      <c r="B280" t="s">
        <v>109</v>
      </c>
      <c r="C280" t="s">
        <v>289</v>
      </c>
      <c r="D280">
        <v>700</v>
      </c>
      <c r="E280">
        <v>1475</v>
      </c>
      <c r="F280">
        <v>3.98</v>
      </c>
    </row>
    <row r="281" spans="1:6" hidden="1" x14ac:dyDescent="0.25">
      <c r="A281" t="s">
        <v>160</v>
      </c>
      <c r="B281" t="s">
        <v>109</v>
      </c>
      <c r="C281" t="s">
        <v>290</v>
      </c>
      <c r="D281">
        <v>800</v>
      </c>
      <c r="E281">
        <v>1596</v>
      </c>
      <c r="F281">
        <v>4.29</v>
      </c>
    </row>
    <row r="282" spans="1:6" hidden="1" x14ac:dyDescent="0.25">
      <c r="A282" t="s">
        <v>160</v>
      </c>
      <c r="B282" t="s">
        <v>109</v>
      </c>
      <c r="C282" t="s">
        <v>291</v>
      </c>
      <c r="D282">
        <v>1000</v>
      </c>
      <c r="E282">
        <v>1612</v>
      </c>
      <c r="F282">
        <v>6.21</v>
      </c>
    </row>
    <row r="283" spans="1:6" hidden="1" x14ac:dyDescent="0.25">
      <c r="A283" t="s">
        <v>160</v>
      </c>
      <c r="B283" t="s">
        <v>109</v>
      </c>
      <c r="C283" t="s">
        <v>292</v>
      </c>
      <c r="D283">
        <v>300</v>
      </c>
      <c r="E283">
        <v>1286</v>
      </c>
      <c r="F283">
        <v>0.36</v>
      </c>
    </row>
    <row r="284" spans="1:6" hidden="1" x14ac:dyDescent="0.25">
      <c r="A284" t="s">
        <v>160</v>
      </c>
      <c r="B284" t="s">
        <v>109</v>
      </c>
      <c r="C284" t="s">
        <v>293</v>
      </c>
      <c r="D284">
        <v>500</v>
      </c>
      <c r="E284">
        <v>1558</v>
      </c>
      <c r="F284">
        <v>1.65</v>
      </c>
    </row>
    <row r="285" spans="1:6" hidden="1" x14ac:dyDescent="0.25">
      <c r="A285" t="s">
        <v>160</v>
      </c>
      <c r="B285" t="s">
        <v>109</v>
      </c>
      <c r="C285" t="s">
        <v>294</v>
      </c>
      <c r="D285">
        <v>700</v>
      </c>
      <c r="E285">
        <v>1472</v>
      </c>
      <c r="F285">
        <v>4.38</v>
      </c>
    </row>
    <row r="286" spans="1:6" hidden="1" x14ac:dyDescent="0.25">
      <c r="A286" t="s">
        <v>160</v>
      </c>
      <c r="B286" t="s">
        <v>109</v>
      </c>
      <c r="C286" t="s">
        <v>295</v>
      </c>
      <c r="D286">
        <v>800</v>
      </c>
      <c r="E286">
        <v>1573</v>
      </c>
      <c r="F286">
        <v>4.4800000000000004</v>
      </c>
    </row>
    <row r="287" spans="1:6" hidden="1" x14ac:dyDescent="0.25">
      <c r="A287" t="s">
        <v>160</v>
      </c>
      <c r="B287" t="s">
        <v>109</v>
      </c>
      <c r="C287" t="s">
        <v>296</v>
      </c>
      <c r="D287">
        <v>1000</v>
      </c>
      <c r="E287">
        <v>1596</v>
      </c>
      <c r="F287">
        <v>6.3</v>
      </c>
    </row>
    <row r="288" spans="1:6" hidden="1" x14ac:dyDescent="0.25">
      <c r="A288" t="s">
        <v>160</v>
      </c>
      <c r="B288" t="s">
        <v>109</v>
      </c>
      <c r="C288" t="s">
        <v>297</v>
      </c>
      <c r="D288">
        <v>300</v>
      </c>
      <c r="E288">
        <v>1240</v>
      </c>
      <c r="F288">
        <v>0.4</v>
      </c>
    </row>
    <row r="289" spans="1:6" hidden="1" x14ac:dyDescent="0.25">
      <c r="A289" t="s">
        <v>160</v>
      </c>
      <c r="B289" t="s">
        <v>109</v>
      </c>
      <c r="C289" t="s">
        <v>298</v>
      </c>
      <c r="D289">
        <v>500</v>
      </c>
      <c r="E289">
        <v>1400</v>
      </c>
      <c r="F289">
        <v>1.75</v>
      </c>
    </row>
    <row r="290" spans="1:6" hidden="1" x14ac:dyDescent="0.25">
      <c r="A290" t="s">
        <v>160</v>
      </c>
      <c r="B290" t="s">
        <v>109</v>
      </c>
      <c r="C290" t="s">
        <v>299</v>
      </c>
      <c r="D290">
        <v>700</v>
      </c>
      <c r="E290">
        <v>1540</v>
      </c>
      <c r="F290">
        <v>3.88</v>
      </c>
    </row>
    <row r="291" spans="1:6" hidden="1" x14ac:dyDescent="0.25">
      <c r="A291" t="s">
        <v>160</v>
      </c>
      <c r="B291" t="s">
        <v>109</v>
      </c>
      <c r="C291" t="s">
        <v>300</v>
      </c>
      <c r="D291">
        <v>800</v>
      </c>
      <c r="E291">
        <v>1466</v>
      </c>
      <c r="F291">
        <v>4.72</v>
      </c>
    </row>
    <row r="292" spans="1:6" hidden="1" x14ac:dyDescent="0.25">
      <c r="A292" t="s">
        <v>160</v>
      </c>
      <c r="B292" t="s">
        <v>109</v>
      </c>
      <c r="C292" t="s">
        <v>301</v>
      </c>
      <c r="D292">
        <v>1000</v>
      </c>
      <c r="E292">
        <v>1404</v>
      </c>
      <c r="F292">
        <v>6.96</v>
      </c>
    </row>
    <row r="293" spans="1:6" hidden="1" x14ac:dyDescent="0.25">
      <c r="A293" t="s">
        <v>160</v>
      </c>
      <c r="B293" t="s">
        <v>109</v>
      </c>
      <c r="C293" t="s">
        <v>302</v>
      </c>
      <c r="D293">
        <v>300</v>
      </c>
      <c r="E293">
        <v>1289</v>
      </c>
      <c r="F293">
        <v>0.38</v>
      </c>
    </row>
    <row r="294" spans="1:6" hidden="1" x14ac:dyDescent="0.25">
      <c r="A294" t="s">
        <v>160</v>
      </c>
      <c r="B294" t="s">
        <v>109</v>
      </c>
      <c r="C294" t="s">
        <v>303</v>
      </c>
      <c r="D294">
        <v>500</v>
      </c>
      <c r="E294">
        <v>1375</v>
      </c>
      <c r="F294">
        <v>2</v>
      </c>
    </row>
    <row r="295" spans="1:6" hidden="1" x14ac:dyDescent="0.25">
      <c r="A295" t="s">
        <v>160</v>
      </c>
      <c r="B295" t="s">
        <v>109</v>
      </c>
      <c r="C295" t="s">
        <v>304</v>
      </c>
      <c r="D295">
        <v>700</v>
      </c>
      <c r="E295">
        <v>1525</v>
      </c>
      <c r="F295">
        <v>4.1500000000000004</v>
      </c>
    </row>
    <row r="296" spans="1:6" hidden="1" x14ac:dyDescent="0.25">
      <c r="A296" t="s">
        <v>160</v>
      </c>
      <c r="B296" t="s">
        <v>109</v>
      </c>
      <c r="C296" t="s">
        <v>305</v>
      </c>
      <c r="D296">
        <v>800</v>
      </c>
      <c r="E296">
        <v>1578</v>
      </c>
      <c r="F296">
        <v>4.33</v>
      </c>
    </row>
    <row r="297" spans="1:6" hidden="1" x14ac:dyDescent="0.25">
      <c r="A297" t="s">
        <v>160</v>
      </c>
      <c r="B297" t="s">
        <v>109</v>
      </c>
      <c r="C297" t="s">
        <v>306</v>
      </c>
      <c r="D297">
        <v>1000</v>
      </c>
      <c r="E297">
        <v>1573</v>
      </c>
      <c r="F297">
        <v>7.16</v>
      </c>
    </row>
    <row r="298" spans="1:6" hidden="1" x14ac:dyDescent="0.25">
      <c r="A298" t="s">
        <v>160</v>
      </c>
      <c r="B298" t="s">
        <v>109</v>
      </c>
      <c r="C298" t="s">
        <v>307</v>
      </c>
      <c r="D298">
        <v>300</v>
      </c>
      <c r="E298">
        <v>1221</v>
      </c>
      <c r="F298">
        <v>0.44</v>
      </c>
    </row>
    <row r="299" spans="1:6" hidden="1" x14ac:dyDescent="0.25">
      <c r="A299" t="s">
        <v>160</v>
      </c>
      <c r="B299" t="s">
        <v>109</v>
      </c>
      <c r="C299" t="s">
        <v>308</v>
      </c>
      <c r="D299">
        <v>500</v>
      </c>
      <c r="E299">
        <v>1577</v>
      </c>
      <c r="F299">
        <v>1.72</v>
      </c>
    </row>
    <row r="300" spans="1:6" hidden="1" x14ac:dyDescent="0.25">
      <c r="A300" t="s">
        <v>160</v>
      </c>
      <c r="B300" t="s">
        <v>109</v>
      </c>
      <c r="C300" t="s">
        <v>309</v>
      </c>
      <c r="D300">
        <v>700</v>
      </c>
      <c r="E300">
        <v>1664</v>
      </c>
      <c r="F300">
        <v>3.44</v>
      </c>
    </row>
    <row r="301" spans="1:6" hidden="1" x14ac:dyDescent="0.25">
      <c r="A301" t="s">
        <v>160</v>
      </c>
      <c r="B301" t="s">
        <v>109</v>
      </c>
      <c r="C301" t="s">
        <v>310</v>
      </c>
      <c r="D301">
        <v>800</v>
      </c>
      <c r="E301">
        <v>1618</v>
      </c>
      <c r="F301">
        <v>4.21</v>
      </c>
    </row>
    <row r="302" spans="1:6" hidden="1" x14ac:dyDescent="0.25">
      <c r="A302" t="s">
        <v>311</v>
      </c>
      <c r="B302" t="s">
        <v>7</v>
      </c>
      <c r="C302" t="s">
        <v>312</v>
      </c>
      <c r="D302">
        <v>1000</v>
      </c>
      <c r="E302">
        <v>4257</v>
      </c>
      <c r="F302">
        <v>10.41</v>
      </c>
    </row>
    <row r="303" spans="1:6" hidden="1" x14ac:dyDescent="0.25">
      <c r="A303" t="s">
        <v>311</v>
      </c>
      <c r="B303" t="s">
        <v>7</v>
      </c>
      <c r="C303" t="s">
        <v>313</v>
      </c>
      <c r="D303">
        <v>300</v>
      </c>
      <c r="E303">
        <v>1355</v>
      </c>
      <c r="F303">
        <v>7.0000000000000007E-2</v>
      </c>
    </row>
    <row r="304" spans="1:6" hidden="1" x14ac:dyDescent="0.25">
      <c r="A304" t="s">
        <v>311</v>
      </c>
      <c r="B304" t="s">
        <v>7</v>
      </c>
      <c r="C304" t="s">
        <v>314</v>
      </c>
      <c r="D304">
        <v>500</v>
      </c>
      <c r="E304">
        <v>2137</v>
      </c>
      <c r="F304">
        <v>0.61</v>
      </c>
    </row>
    <row r="305" spans="1:6" hidden="1" x14ac:dyDescent="0.25">
      <c r="A305" t="s">
        <v>311</v>
      </c>
      <c r="B305" t="s">
        <v>7</v>
      </c>
      <c r="C305" t="s">
        <v>315</v>
      </c>
      <c r="D305">
        <v>700</v>
      </c>
      <c r="E305">
        <v>3019</v>
      </c>
      <c r="F305">
        <v>2.42</v>
      </c>
    </row>
    <row r="306" spans="1:6" hidden="1" x14ac:dyDescent="0.25">
      <c r="A306" t="s">
        <v>311</v>
      </c>
      <c r="B306" t="s">
        <v>7</v>
      </c>
      <c r="C306" t="s">
        <v>316</v>
      </c>
      <c r="D306">
        <v>800</v>
      </c>
      <c r="E306">
        <v>3550</v>
      </c>
      <c r="F306">
        <v>3.92</v>
      </c>
    </row>
    <row r="307" spans="1:6" hidden="1" x14ac:dyDescent="0.25">
      <c r="A307" t="s">
        <v>311</v>
      </c>
      <c r="B307" t="s">
        <v>7</v>
      </c>
      <c r="C307" t="s">
        <v>317</v>
      </c>
      <c r="D307">
        <v>1000</v>
      </c>
      <c r="E307">
        <v>4424</v>
      </c>
      <c r="F307">
        <v>9.8699999999999992</v>
      </c>
    </row>
    <row r="308" spans="1:6" hidden="1" x14ac:dyDescent="0.25">
      <c r="A308" t="s">
        <v>311</v>
      </c>
      <c r="B308" t="s">
        <v>7</v>
      </c>
      <c r="C308" t="s">
        <v>318</v>
      </c>
      <c r="D308">
        <v>300</v>
      </c>
      <c r="E308">
        <v>1228</v>
      </c>
      <c r="F308">
        <v>7.0000000000000007E-2</v>
      </c>
    </row>
    <row r="309" spans="1:6" hidden="1" x14ac:dyDescent="0.25">
      <c r="A309" t="s">
        <v>311</v>
      </c>
      <c r="B309" t="s">
        <v>7</v>
      </c>
      <c r="C309" t="s">
        <v>319</v>
      </c>
      <c r="D309">
        <v>500</v>
      </c>
      <c r="E309">
        <v>2165</v>
      </c>
      <c r="F309">
        <v>0.49</v>
      </c>
    </row>
    <row r="310" spans="1:6" hidden="1" x14ac:dyDescent="0.25">
      <c r="A310" t="s">
        <v>311</v>
      </c>
      <c r="B310" t="s">
        <v>7</v>
      </c>
      <c r="C310" t="s">
        <v>320</v>
      </c>
      <c r="D310">
        <v>700</v>
      </c>
      <c r="E310">
        <v>3055</v>
      </c>
      <c r="F310">
        <v>2.0699999999999998</v>
      </c>
    </row>
    <row r="311" spans="1:6" hidden="1" x14ac:dyDescent="0.25">
      <c r="A311" t="s">
        <v>311</v>
      </c>
      <c r="B311" t="s">
        <v>7</v>
      </c>
      <c r="C311" t="s">
        <v>321</v>
      </c>
      <c r="D311">
        <v>800</v>
      </c>
      <c r="E311">
        <v>3420</v>
      </c>
      <c r="F311">
        <v>3.71</v>
      </c>
    </row>
    <row r="312" spans="1:6" hidden="1" x14ac:dyDescent="0.25">
      <c r="A312" t="s">
        <v>311</v>
      </c>
      <c r="B312" t="s">
        <v>7</v>
      </c>
      <c r="C312" t="s">
        <v>322</v>
      </c>
      <c r="D312">
        <v>1000</v>
      </c>
      <c r="E312">
        <v>4279</v>
      </c>
      <c r="F312">
        <v>8.16</v>
      </c>
    </row>
    <row r="313" spans="1:6" hidden="1" x14ac:dyDescent="0.25">
      <c r="A313" t="s">
        <v>311</v>
      </c>
      <c r="B313" t="s">
        <v>7</v>
      </c>
      <c r="C313" t="s">
        <v>323</v>
      </c>
      <c r="D313">
        <v>300</v>
      </c>
      <c r="E313">
        <v>1379</v>
      </c>
      <c r="F313">
        <v>0.06</v>
      </c>
    </row>
    <row r="314" spans="1:6" hidden="1" x14ac:dyDescent="0.25">
      <c r="A314" t="s">
        <v>311</v>
      </c>
      <c r="B314" t="s">
        <v>7</v>
      </c>
      <c r="C314" t="s">
        <v>324</v>
      </c>
      <c r="D314">
        <v>500</v>
      </c>
      <c r="E314">
        <v>2230</v>
      </c>
      <c r="F314">
        <v>0.49</v>
      </c>
    </row>
    <row r="315" spans="1:6" hidden="1" x14ac:dyDescent="0.25">
      <c r="A315" t="s">
        <v>311</v>
      </c>
      <c r="B315" t="s">
        <v>7</v>
      </c>
      <c r="C315" t="s">
        <v>325</v>
      </c>
      <c r="D315">
        <v>700</v>
      </c>
      <c r="E315">
        <v>2992</v>
      </c>
      <c r="F315">
        <v>1.73</v>
      </c>
    </row>
    <row r="316" spans="1:6" hidden="1" x14ac:dyDescent="0.25">
      <c r="A316" t="s">
        <v>311</v>
      </c>
      <c r="B316" t="s">
        <v>7</v>
      </c>
      <c r="C316" t="s">
        <v>326</v>
      </c>
      <c r="D316">
        <v>800</v>
      </c>
      <c r="E316">
        <v>3499</v>
      </c>
      <c r="F316">
        <v>3.45</v>
      </c>
    </row>
    <row r="317" spans="1:6" hidden="1" x14ac:dyDescent="0.25">
      <c r="A317" t="s">
        <v>311</v>
      </c>
      <c r="B317" t="s">
        <v>7</v>
      </c>
      <c r="C317" t="s">
        <v>327</v>
      </c>
      <c r="D317">
        <v>1000</v>
      </c>
      <c r="E317">
        <v>4434</v>
      </c>
      <c r="F317">
        <v>9.23</v>
      </c>
    </row>
    <row r="318" spans="1:6" hidden="1" x14ac:dyDescent="0.25">
      <c r="A318" t="s">
        <v>311</v>
      </c>
      <c r="B318" t="s">
        <v>7</v>
      </c>
      <c r="C318" t="s">
        <v>328</v>
      </c>
      <c r="D318">
        <v>300</v>
      </c>
      <c r="E318">
        <v>1305</v>
      </c>
      <c r="F318">
        <v>7.0000000000000007E-2</v>
      </c>
    </row>
    <row r="319" spans="1:6" hidden="1" x14ac:dyDescent="0.25">
      <c r="A319" t="s">
        <v>311</v>
      </c>
      <c r="B319" t="s">
        <v>7</v>
      </c>
      <c r="C319" t="s">
        <v>329</v>
      </c>
      <c r="D319">
        <v>500</v>
      </c>
      <c r="E319">
        <v>2188</v>
      </c>
      <c r="F319">
        <v>0.53</v>
      </c>
    </row>
    <row r="320" spans="1:6" hidden="1" x14ac:dyDescent="0.25">
      <c r="A320" t="s">
        <v>311</v>
      </c>
      <c r="B320" t="s">
        <v>7</v>
      </c>
      <c r="C320" t="s">
        <v>330</v>
      </c>
      <c r="D320">
        <v>700</v>
      </c>
      <c r="E320">
        <v>3056</v>
      </c>
      <c r="F320">
        <v>2.46</v>
      </c>
    </row>
    <row r="321" spans="1:6" hidden="1" x14ac:dyDescent="0.25">
      <c r="A321" t="s">
        <v>311</v>
      </c>
      <c r="B321" t="s">
        <v>7</v>
      </c>
      <c r="C321" t="s">
        <v>331</v>
      </c>
      <c r="D321">
        <v>800</v>
      </c>
      <c r="E321">
        <v>3525</v>
      </c>
      <c r="F321">
        <v>3.86</v>
      </c>
    </row>
    <row r="322" spans="1:6" hidden="1" x14ac:dyDescent="0.25">
      <c r="A322" t="s">
        <v>311</v>
      </c>
      <c r="B322" t="s">
        <v>7</v>
      </c>
      <c r="C322" t="s">
        <v>332</v>
      </c>
      <c r="D322">
        <v>1000</v>
      </c>
      <c r="E322">
        <v>4424</v>
      </c>
      <c r="F322">
        <v>9.1999999999999993</v>
      </c>
    </row>
    <row r="323" spans="1:6" hidden="1" x14ac:dyDescent="0.25">
      <c r="A323" t="s">
        <v>311</v>
      </c>
      <c r="B323" t="s">
        <v>7</v>
      </c>
      <c r="C323" t="s">
        <v>333</v>
      </c>
      <c r="D323">
        <v>300</v>
      </c>
      <c r="E323">
        <v>1287</v>
      </c>
      <c r="F323">
        <v>0.06</v>
      </c>
    </row>
    <row r="324" spans="1:6" hidden="1" x14ac:dyDescent="0.25">
      <c r="A324" t="s">
        <v>311</v>
      </c>
      <c r="B324" t="s">
        <v>7</v>
      </c>
      <c r="C324" t="s">
        <v>334</v>
      </c>
      <c r="D324">
        <v>500</v>
      </c>
      <c r="E324">
        <v>2220</v>
      </c>
      <c r="F324">
        <v>0.52</v>
      </c>
    </row>
    <row r="325" spans="1:6" hidden="1" x14ac:dyDescent="0.25">
      <c r="A325" t="s">
        <v>311</v>
      </c>
      <c r="B325" t="s">
        <v>7</v>
      </c>
      <c r="C325" t="s">
        <v>335</v>
      </c>
      <c r="D325">
        <v>700</v>
      </c>
      <c r="E325">
        <v>3057</v>
      </c>
      <c r="F325">
        <v>2.16</v>
      </c>
    </row>
    <row r="326" spans="1:6" hidden="1" x14ac:dyDescent="0.25">
      <c r="A326" t="s">
        <v>311</v>
      </c>
      <c r="B326" t="s">
        <v>7</v>
      </c>
      <c r="C326" t="s">
        <v>336</v>
      </c>
      <c r="D326">
        <v>800</v>
      </c>
      <c r="E326">
        <v>3586</v>
      </c>
      <c r="F326">
        <v>3.38</v>
      </c>
    </row>
    <row r="327" spans="1:6" hidden="1" x14ac:dyDescent="0.25">
      <c r="A327" t="s">
        <v>311</v>
      </c>
      <c r="B327" t="s">
        <v>7</v>
      </c>
      <c r="C327" t="s">
        <v>337</v>
      </c>
      <c r="D327">
        <v>1000</v>
      </c>
      <c r="E327">
        <v>4445</v>
      </c>
      <c r="F327">
        <v>9.32</v>
      </c>
    </row>
    <row r="328" spans="1:6" hidden="1" x14ac:dyDescent="0.25">
      <c r="A328" t="s">
        <v>311</v>
      </c>
      <c r="B328" t="s">
        <v>7</v>
      </c>
      <c r="C328" t="s">
        <v>338</v>
      </c>
      <c r="D328">
        <v>300</v>
      </c>
      <c r="E328">
        <v>1290</v>
      </c>
      <c r="F328">
        <v>7.0000000000000007E-2</v>
      </c>
    </row>
    <row r="329" spans="1:6" hidden="1" x14ac:dyDescent="0.25">
      <c r="A329" t="s">
        <v>311</v>
      </c>
      <c r="B329" t="s">
        <v>7</v>
      </c>
      <c r="C329" t="s">
        <v>339</v>
      </c>
      <c r="D329">
        <v>500</v>
      </c>
      <c r="E329">
        <v>2294</v>
      </c>
      <c r="F329">
        <v>0.54</v>
      </c>
    </row>
    <row r="330" spans="1:6" hidden="1" x14ac:dyDescent="0.25">
      <c r="A330" t="s">
        <v>311</v>
      </c>
      <c r="B330" t="s">
        <v>7</v>
      </c>
      <c r="C330" t="s">
        <v>340</v>
      </c>
      <c r="D330">
        <v>700</v>
      </c>
      <c r="E330">
        <v>2992</v>
      </c>
      <c r="F330">
        <v>2.33</v>
      </c>
    </row>
    <row r="331" spans="1:6" hidden="1" x14ac:dyDescent="0.25">
      <c r="A331" t="s">
        <v>311</v>
      </c>
      <c r="B331" t="s">
        <v>7</v>
      </c>
      <c r="C331" t="s">
        <v>341</v>
      </c>
      <c r="D331">
        <v>800</v>
      </c>
      <c r="E331">
        <v>3332</v>
      </c>
      <c r="F331">
        <v>3.71</v>
      </c>
    </row>
    <row r="332" spans="1:6" hidden="1" x14ac:dyDescent="0.25">
      <c r="A332" t="s">
        <v>311</v>
      </c>
      <c r="B332" t="s">
        <v>7</v>
      </c>
      <c r="C332" t="s">
        <v>342</v>
      </c>
      <c r="D332">
        <v>1000</v>
      </c>
      <c r="E332">
        <v>4412</v>
      </c>
      <c r="F332">
        <v>8.89</v>
      </c>
    </row>
    <row r="333" spans="1:6" hidden="1" x14ac:dyDescent="0.25">
      <c r="A333" t="s">
        <v>311</v>
      </c>
      <c r="B333" t="s">
        <v>7</v>
      </c>
      <c r="C333" t="s">
        <v>343</v>
      </c>
      <c r="D333">
        <v>300</v>
      </c>
      <c r="E333">
        <v>1259</v>
      </c>
      <c r="F333">
        <v>7.0000000000000007E-2</v>
      </c>
    </row>
    <row r="334" spans="1:6" hidden="1" x14ac:dyDescent="0.25">
      <c r="A334" t="s">
        <v>311</v>
      </c>
      <c r="B334" t="s">
        <v>7</v>
      </c>
      <c r="C334" t="s">
        <v>344</v>
      </c>
      <c r="D334">
        <v>500</v>
      </c>
      <c r="E334">
        <v>2113</v>
      </c>
      <c r="F334">
        <v>0.52</v>
      </c>
    </row>
    <row r="335" spans="1:6" hidden="1" x14ac:dyDescent="0.25">
      <c r="A335" t="s">
        <v>311</v>
      </c>
      <c r="B335" t="s">
        <v>7</v>
      </c>
      <c r="C335" t="s">
        <v>345</v>
      </c>
      <c r="D335">
        <v>700</v>
      </c>
      <c r="E335">
        <v>3001</v>
      </c>
      <c r="F335">
        <v>1.95</v>
      </c>
    </row>
    <row r="336" spans="1:6" hidden="1" x14ac:dyDescent="0.25">
      <c r="A336" t="s">
        <v>311</v>
      </c>
      <c r="B336" t="s">
        <v>7</v>
      </c>
      <c r="C336" t="s">
        <v>346</v>
      </c>
      <c r="D336">
        <v>800</v>
      </c>
      <c r="E336">
        <v>3486</v>
      </c>
      <c r="F336">
        <v>3.47</v>
      </c>
    </row>
    <row r="337" spans="1:6" hidden="1" x14ac:dyDescent="0.25">
      <c r="A337" t="s">
        <v>311</v>
      </c>
      <c r="B337" t="s">
        <v>7</v>
      </c>
      <c r="C337" t="s">
        <v>347</v>
      </c>
      <c r="D337">
        <v>1000</v>
      </c>
      <c r="E337">
        <v>4393</v>
      </c>
      <c r="F337">
        <v>8.81</v>
      </c>
    </row>
    <row r="338" spans="1:6" hidden="1" x14ac:dyDescent="0.25">
      <c r="A338" t="s">
        <v>311</v>
      </c>
      <c r="B338" t="s">
        <v>7</v>
      </c>
      <c r="C338" t="s">
        <v>348</v>
      </c>
      <c r="D338">
        <v>300</v>
      </c>
      <c r="E338">
        <v>1320</v>
      </c>
      <c r="F338">
        <v>7.0000000000000007E-2</v>
      </c>
    </row>
    <row r="339" spans="1:6" hidden="1" x14ac:dyDescent="0.25">
      <c r="A339" t="s">
        <v>311</v>
      </c>
      <c r="B339" t="s">
        <v>7</v>
      </c>
      <c r="C339" t="s">
        <v>349</v>
      </c>
      <c r="D339">
        <v>500</v>
      </c>
      <c r="E339">
        <v>2159</v>
      </c>
      <c r="F339">
        <v>0.54</v>
      </c>
    </row>
    <row r="340" spans="1:6" hidden="1" x14ac:dyDescent="0.25">
      <c r="A340" t="s">
        <v>311</v>
      </c>
      <c r="B340" t="s">
        <v>7</v>
      </c>
      <c r="C340" t="s">
        <v>350</v>
      </c>
      <c r="D340">
        <v>700</v>
      </c>
      <c r="E340">
        <v>3142</v>
      </c>
      <c r="F340">
        <v>2.17</v>
      </c>
    </row>
    <row r="341" spans="1:6" hidden="1" x14ac:dyDescent="0.25">
      <c r="A341" t="s">
        <v>311</v>
      </c>
      <c r="B341" t="s">
        <v>7</v>
      </c>
      <c r="C341" t="s">
        <v>351</v>
      </c>
      <c r="D341">
        <v>800</v>
      </c>
      <c r="E341">
        <v>3540</v>
      </c>
      <c r="F341">
        <v>3.56</v>
      </c>
    </row>
    <row r="342" spans="1:6" hidden="1" x14ac:dyDescent="0.25">
      <c r="A342" t="s">
        <v>311</v>
      </c>
      <c r="B342" t="s">
        <v>7</v>
      </c>
      <c r="C342" t="s">
        <v>352</v>
      </c>
      <c r="D342">
        <v>1000</v>
      </c>
      <c r="E342">
        <v>4374</v>
      </c>
      <c r="F342">
        <v>8.59</v>
      </c>
    </row>
    <row r="343" spans="1:6" hidden="1" x14ac:dyDescent="0.25">
      <c r="A343" t="s">
        <v>311</v>
      </c>
      <c r="B343" t="s">
        <v>7</v>
      </c>
      <c r="C343" t="s">
        <v>353</v>
      </c>
      <c r="D343">
        <v>300</v>
      </c>
      <c r="E343">
        <v>1361</v>
      </c>
      <c r="F343">
        <v>7.0000000000000007E-2</v>
      </c>
    </row>
    <row r="344" spans="1:6" hidden="1" x14ac:dyDescent="0.25">
      <c r="A344" t="s">
        <v>311</v>
      </c>
      <c r="B344" t="s">
        <v>7</v>
      </c>
      <c r="C344" t="s">
        <v>354</v>
      </c>
      <c r="D344">
        <v>500</v>
      </c>
      <c r="E344">
        <v>2281</v>
      </c>
      <c r="F344">
        <v>0.5</v>
      </c>
    </row>
    <row r="345" spans="1:6" hidden="1" x14ac:dyDescent="0.25">
      <c r="A345" t="s">
        <v>311</v>
      </c>
      <c r="B345" t="s">
        <v>7</v>
      </c>
      <c r="C345" t="s">
        <v>355</v>
      </c>
      <c r="D345">
        <v>700</v>
      </c>
      <c r="E345">
        <v>2931</v>
      </c>
      <c r="F345">
        <v>2.02</v>
      </c>
    </row>
    <row r="346" spans="1:6" hidden="1" x14ac:dyDescent="0.25">
      <c r="A346" t="s">
        <v>311</v>
      </c>
      <c r="B346" t="s">
        <v>7</v>
      </c>
      <c r="C346" t="s">
        <v>356</v>
      </c>
      <c r="D346">
        <v>800</v>
      </c>
      <c r="E346">
        <v>3504</v>
      </c>
      <c r="F346">
        <v>3.76</v>
      </c>
    </row>
    <row r="347" spans="1:6" hidden="1" x14ac:dyDescent="0.25">
      <c r="A347" t="s">
        <v>311</v>
      </c>
      <c r="B347" t="s">
        <v>7</v>
      </c>
      <c r="C347" t="s">
        <v>357</v>
      </c>
      <c r="D347">
        <v>1000</v>
      </c>
      <c r="E347">
        <v>4300</v>
      </c>
      <c r="F347">
        <v>9.4700000000000006</v>
      </c>
    </row>
    <row r="348" spans="1:6" hidden="1" x14ac:dyDescent="0.25">
      <c r="A348" t="s">
        <v>311</v>
      </c>
      <c r="B348" t="s">
        <v>7</v>
      </c>
      <c r="C348" t="s">
        <v>358</v>
      </c>
      <c r="D348">
        <v>300</v>
      </c>
      <c r="E348">
        <v>1253</v>
      </c>
      <c r="F348">
        <v>7.0000000000000007E-2</v>
      </c>
    </row>
    <row r="349" spans="1:6" hidden="1" x14ac:dyDescent="0.25">
      <c r="A349" t="s">
        <v>311</v>
      </c>
      <c r="B349" t="s">
        <v>7</v>
      </c>
      <c r="C349" t="s">
        <v>359</v>
      </c>
      <c r="D349">
        <v>500</v>
      </c>
      <c r="E349">
        <v>2081</v>
      </c>
      <c r="F349">
        <v>0.51</v>
      </c>
    </row>
    <row r="350" spans="1:6" hidden="1" x14ac:dyDescent="0.25">
      <c r="A350" t="s">
        <v>311</v>
      </c>
      <c r="B350" t="s">
        <v>7</v>
      </c>
      <c r="C350" t="s">
        <v>360</v>
      </c>
      <c r="D350">
        <v>700</v>
      </c>
      <c r="E350">
        <v>3125</v>
      </c>
      <c r="F350">
        <v>2.16</v>
      </c>
    </row>
    <row r="351" spans="1:6" hidden="1" x14ac:dyDescent="0.25">
      <c r="A351" t="s">
        <v>311</v>
      </c>
      <c r="B351" t="s">
        <v>7</v>
      </c>
      <c r="C351" t="s">
        <v>361</v>
      </c>
      <c r="D351">
        <v>800</v>
      </c>
      <c r="E351">
        <v>3514</v>
      </c>
      <c r="F351">
        <v>3.35</v>
      </c>
    </row>
    <row r="352" spans="1:6" x14ac:dyDescent="0.25">
      <c r="A352" t="s">
        <v>311</v>
      </c>
      <c r="B352" t="s">
        <v>58</v>
      </c>
      <c r="C352" t="s">
        <v>362</v>
      </c>
      <c r="D352">
        <v>1000</v>
      </c>
      <c r="E352">
        <v>4401</v>
      </c>
      <c r="F352">
        <v>7.62</v>
      </c>
    </row>
    <row r="353" spans="1:6" hidden="1" x14ac:dyDescent="0.25">
      <c r="A353" t="s">
        <v>311</v>
      </c>
      <c r="B353" t="s">
        <v>58</v>
      </c>
      <c r="C353" t="s">
        <v>363</v>
      </c>
      <c r="D353">
        <v>300</v>
      </c>
      <c r="E353">
        <v>1297</v>
      </c>
      <c r="F353">
        <v>0.06</v>
      </c>
    </row>
    <row r="354" spans="1:6" hidden="1" x14ac:dyDescent="0.25">
      <c r="A354" t="s">
        <v>311</v>
      </c>
      <c r="B354" t="s">
        <v>58</v>
      </c>
      <c r="C354" t="s">
        <v>364</v>
      </c>
      <c r="D354">
        <v>500</v>
      </c>
      <c r="E354">
        <v>2106</v>
      </c>
      <c r="F354">
        <v>0.61</v>
      </c>
    </row>
    <row r="355" spans="1:6" hidden="1" x14ac:dyDescent="0.25">
      <c r="A355" t="s">
        <v>311</v>
      </c>
      <c r="B355" t="s">
        <v>58</v>
      </c>
      <c r="C355" t="s">
        <v>365</v>
      </c>
      <c r="D355">
        <v>700</v>
      </c>
      <c r="E355">
        <v>3094</v>
      </c>
      <c r="F355">
        <v>2.0299999999999998</v>
      </c>
    </row>
    <row r="356" spans="1:6" hidden="1" x14ac:dyDescent="0.25">
      <c r="A356" t="s">
        <v>311</v>
      </c>
      <c r="B356" t="s">
        <v>58</v>
      </c>
      <c r="C356" t="s">
        <v>366</v>
      </c>
      <c r="D356">
        <v>800</v>
      </c>
      <c r="E356">
        <v>3452</v>
      </c>
      <c r="F356">
        <v>3.37</v>
      </c>
    </row>
    <row r="357" spans="1:6" x14ac:dyDescent="0.25">
      <c r="A357" t="s">
        <v>311</v>
      </c>
      <c r="B357" t="s">
        <v>58</v>
      </c>
      <c r="C357" t="s">
        <v>367</v>
      </c>
      <c r="D357">
        <v>1000</v>
      </c>
      <c r="E357">
        <v>4428</v>
      </c>
      <c r="F357">
        <v>8.5399999999999991</v>
      </c>
    </row>
    <row r="358" spans="1:6" hidden="1" x14ac:dyDescent="0.25">
      <c r="A358" t="s">
        <v>311</v>
      </c>
      <c r="B358" t="s">
        <v>58</v>
      </c>
      <c r="C358" t="s">
        <v>368</v>
      </c>
      <c r="D358">
        <v>300</v>
      </c>
      <c r="E358">
        <v>1244</v>
      </c>
      <c r="F358">
        <v>0.06</v>
      </c>
    </row>
    <row r="359" spans="1:6" hidden="1" x14ac:dyDescent="0.25">
      <c r="A359" t="s">
        <v>311</v>
      </c>
      <c r="B359" t="s">
        <v>58</v>
      </c>
      <c r="C359" t="s">
        <v>369</v>
      </c>
      <c r="D359">
        <v>500</v>
      </c>
      <c r="E359">
        <v>2208</v>
      </c>
      <c r="F359">
        <v>0.42</v>
      </c>
    </row>
    <row r="360" spans="1:6" hidden="1" x14ac:dyDescent="0.25">
      <c r="A360" t="s">
        <v>311</v>
      </c>
      <c r="B360" t="s">
        <v>58</v>
      </c>
      <c r="C360" t="s">
        <v>370</v>
      </c>
      <c r="D360">
        <v>700</v>
      </c>
      <c r="E360">
        <v>3162</v>
      </c>
      <c r="F360">
        <v>2.13</v>
      </c>
    </row>
    <row r="361" spans="1:6" hidden="1" x14ac:dyDescent="0.25">
      <c r="A361" t="s">
        <v>311</v>
      </c>
      <c r="B361" t="s">
        <v>58</v>
      </c>
      <c r="C361" t="s">
        <v>371</v>
      </c>
      <c r="D361">
        <v>800</v>
      </c>
      <c r="E361">
        <v>3573</v>
      </c>
      <c r="F361">
        <v>3.42</v>
      </c>
    </row>
    <row r="362" spans="1:6" x14ac:dyDescent="0.25">
      <c r="A362" t="s">
        <v>311</v>
      </c>
      <c r="B362" t="s">
        <v>58</v>
      </c>
      <c r="C362" t="s">
        <v>372</v>
      </c>
      <c r="D362">
        <v>1000</v>
      </c>
      <c r="E362">
        <v>4381</v>
      </c>
      <c r="F362">
        <v>9.0500000000000007</v>
      </c>
    </row>
    <row r="363" spans="1:6" hidden="1" x14ac:dyDescent="0.25">
      <c r="A363" t="s">
        <v>311</v>
      </c>
      <c r="B363" t="s">
        <v>58</v>
      </c>
      <c r="C363" t="s">
        <v>373</v>
      </c>
      <c r="D363">
        <v>300</v>
      </c>
      <c r="E363">
        <v>1340</v>
      </c>
      <c r="F363">
        <v>7.0000000000000007E-2</v>
      </c>
    </row>
    <row r="364" spans="1:6" hidden="1" x14ac:dyDescent="0.25">
      <c r="A364" t="s">
        <v>311</v>
      </c>
      <c r="B364" t="s">
        <v>58</v>
      </c>
      <c r="C364" t="s">
        <v>374</v>
      </c>
      <c r="D364">
        <v>500</v>
      </c>
      <c r="E364">
        <v>2268</v>
      </c>
      <c r="F364">
        <v>0.59</v>
      </c>
    </row>
    <row r="365" spans="1:6" hidden="1" x14ac:dyDescent="0.25">
      <c r="A365" t="s">
        <v>311</v>
      </c>
      <c r="B365" t="s">
        <v>58</v>
      </c>
      <c r="C365" t="s">
        <v>375</v>
      </c>
      <c r="D365">
        <v>700</v>
      </c>
      <c r="E365">
        <v>3038</v>
      </c>
      <c r="F365">
        <v>2.0499999999999998</v>
      </c>
    </row>
    <row r="366" spans="1:6" hidden="1" x14ac:dyDescent="0.25">
      <c r="A366" t="s">
        <v>311</v>
      </c>
      <c r="B366" t="s">
        <v>58</v>
      </c>
      <c r="C366" t="s">
        <v>376</v>
      </c>
      <c r="D366">
        <v>800</v>
      </c>
      <c r="E366">
        <v>3520</v>
      </c>
      <c r="F366">
        <v>3.93</v>
      </c>
    </row>
    <row r="367" spans="1:6" x14ac:dyDescent="0.25">
      <c r="A367" t="s">
        <v>311</v>
      </c>
      <c r="B367" t="s">
        <v>58</v>
      </c>
      <c r="C367" t="s">
        <v>377</v>
      </c>
      <c r="D367">
        <v>1000</v>
      </c>
      <c r="E367">
        <v>4565</v>
      </c>
      <c r="F367">
        <v>8.68</v>
      </c>
    </row>
    <row r="368" spans="1:6" hidden="1" x14ac:dyDescent="0.25">
      <c r="A368" t="s">
        <v>311</v>
      </c>
      <c r="B368" t="s">
        <v>58</v>
      </c>
      <c r="C368" t="s">
        <v>378</v>
      </c>
      <c r="D368">
        <v>300</v>
      </c>
      <c r="E368">
        <v>1301</v>
      </c>
      <c r="F368">
        <v>0.06</v>
      </c>
    </row>
    <row r="369" spans="1:6" hidden="1" x14ac:dyDescent="0.25">
      <c r="A369" t="s">
        <v>311</v>
      </c>
      <c r="B369" t="s">
        <v>58</v>
      </c>
      <c r="C369" t="s">
        <v>379</v>
      </c>
      <c r="D369">
        <v>500</v>
      </c>
      <c r="E369">
        <v>2162</v>
      </c>
      <c r="F369">
        <v>0.4</v>
      </c>
    </row>
    <row r="370" spans="1:6" hidden="1" x14ac:dyDescent="0.25">
      <c r="A370" t="s">
        <v>311</v>
      </c>
      <c r="B370" t="s">
        <v>58</v>
      </c>
      <c r="C370" t="s">
        <v>380</v>
      </c>
      <c r="D370">
        <v>700</v>
      </c>
      <c r="E370">
        <v>3058</v>
      </c>
      <c r="F370">
        <v>1.97</v>
      </c>
    </row>
    <row r="371" spans="1:6" hidden="1" x14ac:dyDescent="0.25">
      <c r="A371" t="s">
        <v>311</v>
      </c>
      <c r="B371" t="s">
        <v>58</v>
      </c>
      <c r="C371" t="s">
        <v>381</v>
      </c>
      <c r="D371">
        <v>800</v>
      </c>
      <c r="E371">
        <v>3482</v>
      </c>
      <c r="F371">
        <v>3.51</v>
      </c>
    </row>
    <row r="372" spans="1:6" x14ac:dyDescent="0.25">
      <c r="A372" t="s">
        <v>311</v>
      </c>
      <c r="B372" t="s">
        <v>58</v>
      </c>
      <c r="C372" t="s">
        <v>382</v>
      </c>
      <c r="D372">
        <v>1000</v>
      </c>
      <c r="E372">
        <v>4439</v>
      </c>
      <c r="F372">
        <v>7.21</v>
      </c>
    </row>
    <row r="373" spans="1:6" hidden="1" x14ac:dyDescent="0.25">
      <c r="A373" t="s">
        <v>311</v>
      </c>
      <c r="B373" t="s">
        <v>58</v>
      </c>
      <c r="C373" t="s">
        <v>383</v>
      </c>
      <c r="D373">
        <v>300</v>
      </c>
      <c r="E373">
        <v>1270</v>
      </c>
      <c r="F373">
        <v>0.06</v>
      </c>
    </row>
    <row r="374" spans="1:6" hidden="1" x14ac:dyDescent="0.25">
      <c r="A374" t="s">
        <v>311</v>
      </c>
      <c r="B374" t="s">
        <v>58</v>
      </c>
      <c r="C374" t="s">
        <v>384</v>
      </c>
      <c r="D374">
        <v>500</v>
      </c>
      <c r="E374">
        <v>2178</v>
      </c>
      <c r="F374">
        <v>0.39</v>
      </c>
    </row>
    <row r="375" spans="1:6" hidden="1" x14ac:dyDescent="0.25">
      <c r="A375" t="s">
        <v>311</v>
      </c>
      <c r="B375" t="s">
        <v>58</v>
      </c>
      <c r="C375" t="s">
        <v>385</v>
      </c>
      <c r="D375">
        <v>700</v>
      </c>
      <c r="E375">
        <v>3110</v>
      </c>
      <c r="F375">
        <v>2.1</v>
      </c>
    </row>
    <row r="376" spans="1:6" hidden="1" x14ac:dyDescent="0.25">
      <c r="A376" t="s">
        <v>311</v>
      </c>
      <c r="B376" t="s">
        <v>58</v>
      </c>
      <c r="C376" t="s">
        <v>386</v>
      </c>
      <c r="D376">
        <v>800</v>
      </c>
      <c r="E376">
        <v>3546</v>
      </c>
      <c r="F376">
        <v>3.55</v>
      </c>
    </row>
    <row r="377" spans="1:6" x14ac:dyDescent="0.25">
      <c r="A377" t="s">
        <v>311</v>
      </c>
      <c r="B377" t="s">
        <v>58</v>
      </c>
      <c r="C377" t="s">
        <v>387</v>
      </c>
      <c r="D377">
        <v>1000</v>
      </c>
      <c r="E377">
        <v>4498</v>
      </c>
      <c r="F377">
        <v>7.47</v>
      </c>
    </row>
    <row r="378" spans="1:6" hidden="1" x14ac:dyDescent="0.25">
      <c r="A378" t="s">
        <v>311</v>
      </c>
      <c r="B378" t="s">
        <v>58</v>
      </c>
      <c r="C378" t="s">
        <v>388</v>
      </c>
      <c r="D378">
        <v>300</v>
      </c>
      <c r="E378">
        <v>1310</v>
      </c>
      <c r="F378">
        <v>0.06</v>
      </c>
    </row>
    <row r="379" spans="1:6" hidden="1" x14ac:dyDescent="0.25">
      <c r="A379" t="s">
        <v>311</v>
      </c>
      <c r="B379" t="s">
        <v>58</v>
      </c>
      <c r="C379" t="s">
        <v>389</v>
      </c>
      <c r="D379">
        <v>500</v>
      </c>
      <c r="E379">
        <v>2171</v>
      </c>
      <c r="F379">
        <v>0.52</v>
      </c>
    </row>
    <row r="380" spans="1:6" hidden="1" x14ac:dyDescent="0.25">
      <c r="A380" t="s">
        <v>311</v>
      </c>
      <c r="B380" t="s">
        <v>58</v>
      </c>
      <c r="C380" t="s">
        <v>390</v>
      </c>
      <c r="D380">
        <v>700</v>
      </c>
      <c r="E380">
        <v>3118</v>
      </c>
      <c r="F380">
        <v>2</v>
      </c>
    </row>
    <row r="381" spans="1:6" hidden="1" x14ac:dyDescent="0.25">
      <c r="A381" t="s">
        <v>311</v>
      </c>
      <c r="B381" t="s">
        <v>58</v>
      </c>
      <c r="C381" t="s">
        <v>391</v>
      </c>
      <c r="D381">
        <v>800</v>
      </c>
      <c r="E381">
        <v>3512</v>
      </c>
      <c r="F381">
        <v>3.77</v>
      </c>
    </row>
    <row r="382" spans="1:6" x14ac:dyDescent="0.25">
      <c r="A382" t="s">
        <v>311</v>
      </c>
      <c r="B382" t="s">
        <v>58</v>
      </c>
      <c r="C382" t="s">
        <v>392</v>
      </c>
      <c r="D382">
        <v>1000</v>
      </c>
      <c r="E382">
        <v>4334</v>
      </c>
      <c r="F382">
        <v>9</v>
      </c>
    </row>
    <row r="383" spans="1:6" hidden="1" x14ac:dyDescent="0.25">
      <c r="A383" t="s">
        <v>311</v>
      </c>
      <c r="B383" t="s">
        <v>58</v>
      </c>
      <c r="C383" t="s">
        <v>393</v>
      </c>
      <c r="D383">
        <v>300</v>
      </c>
      <c r="E383">
        <v>1371</v>
      </c>
      <c r="F383">
        <v>0.06</v>
      </c>
    </row>
    <row r="384" spans="1:6" hidden="1" x14ac:dyDescent="0.25">
      <c r="A384" t="s">
        <v>311</v>
      </c>
      <c r="B384" t="s">
        <v>58</v>
      </c>
      <c r="C384" t="s">
        <v>394</v>
      </c>
      <c r="D384">
        <v>500</v>
      </c>
      <c r="E384">
        <v>2218</v>
      </c>
      <c r="F384">
        <v>0.54</v>
      </c>
    </row>
    <row r="385" spans="1:6" hidden="1" x14ac:dyDescent="0.25">
      <c r="A385" t="s">
        <v>311</v>
      </c>
      <c r="B385" t="s">
        <v>58</v>
      </c>
      <c r="C385" t="s">
        <v>395</v>
      </c>
      <c r="D385">
        <v>700</v>
      </c>
      <c r="E385">
        <v>3083</v>
      </c>
      <c r="F385">
        <v>1.96</v>
      </c>
    </row>
    <row r="386" spans="1:6" hidden="1" x14ac:dyDescent="0.25">
      <c r="A386" t="s">
        <v>311</v>
      </c>
      <c r="B386" t="s">
        <v>58</v>
      </c>
      <c r="C386" t="s">
        <v>396</v>
      </c>
      <c r="D386">
        <v>800</v>
      </c>
      <c r="E386">
        <v>3447</v>
      </c>
      <c r="F386">
        <v>3.77</v>
      </c>
    </row>
    <row r="387" spans="1:6" x14ac:dyDescent="0.25">
      <c r="A387" t="s">
        <v>311</v>
      </c>
      <c r="B387" t="s">
        <v>58</v>
      </c>
      <c r="C387" t="s">
        <v>397</v>
      </c>
      <c r="D387">
        <v>1000</v>
      </c>
      <c r="E387">
        <v>4422</v>
      </c>
      <c r="F387">
        <v>7.6</v>
      </c>
    </row>
    <row r="388" spans="1:6" hidden="1" x14ac:dyDescent="0.25">
      <c r="A388" t="s">
        <v>311</v>
      </c>
      <c r="B388" t="s">
        <v>58</v>
      </c>
      <c r="C388" t="s">
        <v>398</v>
      </c>
      <c r="D388">
        <v>300</v>
      </c>
      <c r="E388">
        <v>1359</v>
      </c>
      <c r="F388">
        <v>0.06</v>
      </c>
    </row>
    <row r="389" spans="1:6" hidden="1" x14ac:dyDescent="0.25">
      <c r="A389" t="s">
        <v>311</v>
      </c>
      <c r="B389" t="s">
        <v>58</v>
      </c>
      <c r="C389" t="s">
        <v>399</v>
      </c>
      <c r="D389">
        <v>500</v>
      </c>
      <c r="E389">
        <v>2093</v>
      </c>
      <c r="F389">
        <v>0.4</v>
      </c>
    </row>
    <row r="390" spans="1:6" hidden="1" x14ac:dyDescent="0.25">
      <c r="A390" t="s">
        <v>311</v>
      </c>
      <c r="B390" t="s">
        <v>58</v>
      </c>
      <c r="C390" t="s">
        <v>400</v>
      </c>
      <c r="D390">
        <v>700</v>
      </c>
      <c r="E390">
        <v>3147</v>
      </c>
      <c r="F390">
        <v>2.15</v>
      </c>
    </row>
    <row r="391" spans="1:6" hidden="1" x14ac:dyDescent="0.25">
      <c r="A391" t="s">
        <v>311</v>
      </c>
      <c r="B391" t="s">
        <v>58</v>
      </c>
      <c r="C391" t="s">
        <v>401</v>
      </c>
      <c r="D391">
        <v>800</v>
      </c>
      <c r="E391">
        <v>3497</v>
      </c>
      <c r="F391">
        <v>3.62</v>
      </c>
    </row>
    <row r="392" spans="1:6" x14ac:dyDescent="0.25">
      <c r="A392" t="s">
        <v>311</v>
      </c>
      <c r="B392" t="s">
        <v>58</v>
      </c>
      <c r="C392" t="s">
        <v>402</v>
      </c>
      <c r="D392">
        <v>1000</v>
      </c>
      <c r="E392">
        <v>4408</v>
      </c>
      <c r="F392">
        <v>8.9</v>
      </c>
    </row>
    <row r="393" spans="1:6" hidden="1" x14ac:dyDescent="0.25">
      <c r="A393" t="s">
        <v>311</v>
      </c>
      <c r="B393" t="s">
        <v>58</v>
      </c>
      <c r="C393" t="s">
        <v>403</v>
      </c>
      <c r="D393">
        <v>300</v>
      </c>
      <c r="E393">
        <v>1295</v>
      </c>
      <c r="F393">
        <v>0.13</v>
      </c>
    </row>
    <row r="394" spans="1:6" hidden="1" x14ac:dyDescent="0.25">
      <c r="A394" t="s">
        <v>311</v>
      </c>
      <c r="B394" t="s">
        <v>58</v>
      </c>
      <c r="C394" t="s">
        <v>404</v>
      </c>
      <c r="D394">
        <v>500</v>
      </c>
      <c r="E394">
        <v>2104</v>
      </c>
      <c r="F394">
        <v>0.47</v>
      </c>
    </row>
    <row r="395" spans="1:6" hidden="1" x14ac:dyDescent="0.25">
      <c r="A395" t="s">
        <v>311</v>
      </c>
      <c r="B395" t="s">
        <v>58</v>
      </c>
      <c r="C395" t="s">
        <v>405</v>
      </c>
      <c r="D395">
        <v>700</v>
      </c>
      <c r="E395">
        <v>3156</v>
      </c>
      <c r="F395">
        <v>1.73</v>
      </c>
    </row>
    <row r="396" spans="1:6" hidden="1" x14ac:dyDescent="0.25">
      <c r="A396" t="s">
        <v>311</v>
      </c>
      <c r="B396" t="s">
        <v>58</v>
      </c>
      <c r="C396" t="s">
        <v>406</v>
      </c>
      <c r="D396">
        <v>800</v>
      </c>
      <c r="E396">
        <v>3658</v>
      </c>
      <c r="F396">
        <v>3.74</v>
      </c>
    </row>
    <row r="397" spans="1:6" x14ac:dyDescent="0.25">
      <c r="A397" t="s">
        <v>311</v>
      </c>
      <c r="B397" t="s">
        <v>58</v>
      </c>
      <c r="C397" t="s">
        <v>407</v>
      </c>
      <c r="D397">
        <v>1000</v>
      </c>
      <c r="E397">
        <v>4443</v>
      </c>
      <c r="F397">
        <v>8.64</v>
      </c>
    </row>
    <row r="398" spans="1:6" hidden="1" x14ac:dyDescent="0.25">
      <c r="A398" t="s">
        <v>311</v>
      </c>
      <c r="B398" t="s">
        <v>58</v>
      </c>
      <c r="C398" t="s">
        <v>408</v>
      </c>
      <c r="D398">
        <v>300</v>
      </c>
      <c r="E398">
        <v>1269</v>
      </c>
      <c r="F398">
        <v>0.06</v>
      </c>
    </row>
    <row r="399" spans="1:6" hidden="1" x14ac:dyDescent="0.25">
      <c r="A399" t="s">
        <v>311</v>
      </c>
      <c r="B399" t="s">
        <v>58</v>
      </c>
      <c r="C399" t="s">
        <v>409</v>
      </c>
      <c r="D399">
        <v>500</v>
      </c>
      <c r="E399">
        <v>2072</v>
      </c>
      <c r="F399">
        <v>0.5</v>
      </c>
    </row>
    <row r="400" spans="1:6" hidden="1" x14ac:dyDescent="0.25">
      <c r="A400" t="s">
        <v>311</v>
      </c>
      <c r="B400" t="s">
        <v>58</v>
      </c>
      <c r="C400" t="s">
        <v>410</v>
      </c>
      <c r="D400">
        <v>700</v>
      </c>
      <c r="E400">
        <v>3062</v>
      </c>
      <c r="F400">
        <v>2.06</v>
      </c>
    </row>
    <row r="401" spans="1:6" hidden="1" x14ac:dyDescent="0.25">
      <c r="A401" t="s">
        <v>311</v>
      </c>
      <c r="B401" t="s">
        <v>58</v>
      </c>
      <c r="C401" t="s">
        <v>411</v>
      </c>
      <c r="D401">
        <v>800</v>
      </c>
      <c r="E401">
        <v>3433</v>
      </c>
      <c r="F401">
        <v>3.69</v>
      </c>
    </row>
    <row r="402" spans="1:6" hidden="1" x14ac:dyDescent="0.25">
      <c r="A402" t="s">
        <v>311</v>
      </c>
      <c r="B402" t="s">
        <v>109</v>
      </c>
      <c r="C402" t="s">
        <v>412</v>
      </c>
      <c r="D402">
        <v>1000</v>
      </c>
      <c r="E402">
        <v>5314</v>
      </c>
      <c r="F402">
        <v>8.31</v>
      </c>
    </row>
    <row r="403" spans="1:6" hidden="1" x14ac:dyDescent="0.25">
      <c r="A403" t="s">
        <v>311</v>
      </c>
      <c r="B403" t="s">
        <v>109</v>
      </c>
      <c r="C403" t="s">
        <v>413</v>
      </c>
      <c r="D403">
        <v>300</v>
      </c>
      <c r="E403">
        <v>1590</v>
      </c>
      <c r="F403">
        <v>7.0000000000000007E-2</v>
      </c>
    </row>
    <row r="404" spans="1:6" hidden="1" x14ac:dyDescent="0.25">
      <c r="A404" t="s">
        <v>311</v>
      </c>
      <c r="B404" t="s">
        <v>109</v>
      </c>
      <c r="C404" t="s">
        <v>414</v>
      </c>
      <c r="D404">
        <v>500</v>
      </c>
      <c r="E404">
        <v>2752</v>
      </c>
      <c r="F404">
        <v>0.57999999999999996</v>
      </c>
    </row>
    <row r="405" spans="1:6" hidden="1" x14ac:dyDescent="0.25">
      <c r="A405" t="s">
        <v>311</v>
      </c>
      <c r="B405" t="s">
        <v>109</v>
      </c>
      <c r="C405" t="s">
        <v>415</v>
      </c>
      <c r="D405">
        <v>700</v>
      </c>
      <c r="E405">
        <v>3665</v>
      </c>
      <c r="F405">
        <v>1.95</v>
      </c>
    </row>
    <row r="406" spans="1:6" hidden="1" x14ac:dyDescent="0.25">
      <c r="A406" t="s">
        <v>311</v>
      </c>
      <c r="B406" t="s">
        <v>109</v>
      </c>
      <c r="C406" t="s">
        <v>416</v>
      </c>
      <c r="D406">
        <v>800</v>
      </c>
      <c r="E406">
        <v>4159</v>
      </c>
      <c r="F406">
        <v>4.5199999999999996</v>
      </c>
    </row>
    <row r="407" spans="1:6" hidden="1" x14ac:dyDescent="0.25">
      <c r="A407" t="s">
        <v>311</v>
      </c>
      <c r="B407" t="s">
        <v>109</v>
      </c>
      <c r="C407" t="s">
        <v>417</v>
      </c>
      <c r="D407">
        <v>1000</v>
      </c>
      <c r="E407">
        <v>5136</v>
      </c>
      <c r="F407">
        <v>9.17</v>
      </c>
    </row>
    <row r="408" spans="1:6" hidden="1" x14ac:dyDescent="0.25">
      <c r="A408" t="s">
        <v>311</v>
      </c>
      <c r="B408" t="s">
        <v>109</v>
      </c>
      <c r="C408" t="s">
        <v>418</v>
      </c>
      <c r="D408">
        <v>300</v>
      </c>
      <c r="E408">
        <v>1612</v>
      </c>
      <c r="F408">
        <v>7.0000000000000007E-2</v>
      </c>
    </row>
    <row r="409" spans="1:6" hidden="1" x14ac:dyDescent="0.25">
      <c r="A409" t="s">
        <v>311</v>
      </c>
      <c r="B409" t="s">
        <v>109</v>
      </c>
      <c r="C409" t="s">
        <v>419</v>
      </c>
      <c r="D409">
        <v>500</v>
      </c>
      <c r="E409">
        <v>2586</v>
      </c>
      <c r="F409">
        <v>0.53</v>
      </c>
    </row>
    <row r="410" spans="1:6" hidden="1" x14ac:dyDescent="0.25">
      <c r="A410" t="s">
        <v>311</v>
      </c>
      <c r="B410" t="s">
        <v>109</v>
      </c>
      <c r="C410" t="s">
        <v>420</v>
      </c>
      <c r="D410">
        <v>700</v>
      </c>
      <c r="E410">
        <v>3542</v>
      </c>
      <c r="F410">
        <v>2.0499999999999998</v>
      </c>
    </row>
    <row r="411" spans="1:6" hidden="1" x14ac:dyDescent="0.25">
      <c r="A411" t="s">
        <v>311</v>
      </c>
      <c r="B411" t="s">
        <v>109</v>
      </c>
      <c r="C411" t="s">
        <v>421</v>
      </c>
      <c r="D411">
        <v>800</v>
      </c>
      <c r="E411">
        <v>4068</v>
      </c>
      <c r="F411">
        <v>3.83</v>
      </c>
    </row>
    <row r="412" spans="1:6" hidden="1" x14ac:dyDescent="0.25">
      <c r="A412" t="s">
        <v>311</v>
      </c>
      <c r="B412" t="s">
        <v>109</v>
      </c>
      <c r="C412" t="s">
        <v>422</v>
      </c>
      <c r="D412">
        <v>1000</v>
      </c>
      <c r="E412">
        <v>5060</v>
      </c>
      <c r="F412">
        <v>9.0299999999999994</v>
      </c>
    </row>
    <row r="413" spans="1:6" hidden="1" x14ac:dyDescent="0.25">
      <c r="A413" t="s">
        <v>311</v>
      </c>
      <c r="B413" t="s">
        <v>109</v>
      </c>
      <c r="C413" t="s">
        <v>423</v>
      </c>
      <c r="D413">
        <v>300</v>
      </c>
      <c r="E413">
        <v>1605</v>
      </c>
      <c r="F413">
        <v>7.0000000000000007E-2</v>
      </c>
    </row>
    <row r="414" spans="1:6" hidden="1" x14ac:dyDescent="0.25">
      <c r="A414" t="s">
        <v>311</v>
      </c>
      <c r="B414" t="s">
        <v>109</v>
      </c>
      <c r="C414" t="s">
        <v>424</v>
      </c>
      <c r="D414">
        <v>500</v>
      </c>
      <c r="E414">
        <v>2633</v>
      </c>
      <c r="F414">
        <v>0.53</v>
      </c>
    </row>
    <row r="415" spans="1:6" hidden="1" x14ac:dyDescent="0.25">
      <c r="A415" t="s">
        <v>311</v>
      </c>
      <c r="B415" t="s">
        <v>109</v>
      </c>
      <c r="C415" t="s">
        <v>425</v>
      </c>
      <c r="D415">
        <v>700</v>
      </c>
      <c r="E415">
        <v>3546</v>
      </c>
      <c r="F415">
        <v>2.7</v>
      </c>
    </row>
    <row r="416" spans="1:6" hidden="1" x14ac:dyDescent="0.25">
      <c r="A416" t="s">
        <v>311</v>
      </c>
      <c r="B416" t="s">
        <v>109</v>
      </c>
      <c r="C416" t="s">
        <v>426</v>
      </c>
      <c r="D416">
        <v>800</v>
      </c>
      <c r="E416">
        <v>4097</v>
      </c>
      <c r="F416">
        <v>3.67</v>
      </c>
    </row>
    <row r="417" spans="1:6" hidden="1" x14ac:dyDescent="0.25">
      <c r="A417" t="s">
        <v>311</v>
      </c>
      <c r="B417" t="s">
        <v>109</v>
      </c>
      <c r="C417" t="s">
        <v>427</v>
      </c>
      <c r="D417">
        <v>1000</v>
      </c>
      <c r="E417">
        <v>5411</v>
      </c>
      <c r="F417">
        <v>9.1</v>
      </c>
    </row>
    <row r="418" spans="1:6" hidden="1" x14ac:dyDescent="0.25">
      <c r="A418" t="s">
        <v>311</v>
      </c>
      <c r="B418" t="s">
        <v>109</v>
      </c>
      <c r="C418" t="s">
        <v>428</v>
      </c>
      <c r="D418">
        <v>300</v>
      </c>
      <c r="E418">
        <v>1501</v>
      </c>
      <c r="F418">
        <v>0.09</v>
      </c>
    </row>
    <row r="419" spans="1:6" hidden="1" x14ac:dyDescent="0.25">
      <c r="A419" t="s">
        <v>311</v>
      </c>
      <c r="B419" t="s">
        <v>109</v>
      </c>
      <c r="C419" t="s">
        <v>429</v>
      </c>
      <c r="D419">
        <v>500</v>
      </c>
      <c r="E419">
        <v>2646</v>
      </c>
      <c r="F419">
        <v>0.54</v>
      </c>
    </row>
    <row r="420" spans="1:6" hidden="1" x14ac:dyDescent="0.25">
      <c r="A420" t="s">
        <v>311</v>
      </c>
      <c r="B420" t="s">
        <v>109</v>
      </c>
      <c r="C420" t="s">
        <v>430</v>
      </c>
      <c r="D420">
        <v>700</v>
      </c>
      <c r="E420">
        <v>3592</v>
      </c>
      <c r="F420">
        <v>2.11</v>
      </c>
    </row>
    <row r="421" spans="1:6" hidden="1" x14ac:dyDescent="0.25">
      <c r="A421" t="s">
        <v>311</v>
      </c>
      <c r="B421" t="s">
        <v>109</v>
      </c>
      <c r="C421" t="s">
        <v>431</v>
      </c>
      <c r="D421">
        <v>800</v>
      </c>
      <c r="E421">
        <v>3955</v>
      </c>
      <c r="F421">
        <v>4.0999999999999996</v>
      </c>
    </row>
    <row r="422" spans="1:6" hidden="1" x14ac:dyDescent="0.25">
      <c r="A422" t="s">
        <v>311</v>
      </c>
      <c r="B422" t="s">
        <v>109</v>
      </c>
      <c r="C422" t="s">
        <v>432</v>
      </c>
      <c r="D422">
        <v>1000</v>
      </c>
      <c r="E422">
        <v>5263</v>
      </c>
      <c r="F422">
        <v>8.5500000000000007</v>
      </c>
    </row>
    <row r="423" spans="1:6" hidden="1" x14ac:dyDescent="0.25">
      <c r="A423" t="s">
        <v>311</v>
      </c>
      <c r="B423" t="s">
        <v>109</v>
      </c>
      <c r="C423" t="s">
        <v>433</v>
      </c>
      <c r="D423">
        <v>300</v>
      </c>
      <c r="E423">
        <v>1761</v>
      </c>
      <c r="F423">
        <v>0.06</v>
      </c>
    </row>
    <row r="424" spans="1:6" hidden="1" x14ac:dyDescent="0.25">
      <c r="A424" t="s">
        <v>311</v>
      </c>
      <c r="B424" t="s">
        <v>109</v>
      </c>
      <c r="C424" t="s">
        <v>434</v>
      </c>
      <c r="D424">
        <v>500</v>
      </c>
      <c r="E424">
        <v>2441</v>
      </c>
      <c r="F424">
        <v>0.49</v>
      </c>
    </row>
    <row r="425" spans="1:6" hidden="1" x14ac:dyDescent="0.25">
      <c r="A425" t="s">
        <v>311</v>
      </c>
      <c r="B425" t="s">
        <v>109</v>
      </c>
      <c r="C425" t="s">
        <v>435</v>
      </c>
      <c r="D425">
        <v>700</v>
      </c>
      <c r="E425">
        <v>3442</v>
      </c>
      <c r="F425">
        <v>2.0299999999999998</v>
      </c>
    </row>
    <row r="426" spans="1:6" hidden="1" x14ac:dyDescent="0.25">
      <c r="A426" t="s">
        <v>311</v>
      </c>
      <c r="B426" t="s">
        <v>109</v>
      </c>
      <c r="C426" t="s">
        <v>436</v>
      </c>
      <c r="D426">
        <v>800</v>
      </c>
      <c r="E426">
        <v>4258</v>
      </c>
      <c r="F426">
        <v>3.27</v>
      </c>
    </row>
    <row r="427" spans="1:6" hidden="1" x14ac:dyDescent="0.25">
      <c r="A427" t="s">
        <v>311</v>
      </c>
      <c r="B427" t="s">
        <v>109</v>
      </c>
      <c r="C427" t="s">
        <v>437</v>
      </c>
      <c r="D427">
        <v>1000</v>
      </c>
      <c r="E427">
        <v>4999</v>
      </c>
      <c r="F427">
        <v>9.42</v>
      </c>
    </row>
    <row r="428" spans="1:6" hidden="1" x14ac:dyDescent="0.25">
      <c r="A428" t="s">
        <v>311</v>
      </c>
      <c r="B428" t="s">
        <v>109</v>
      </c>
      <c r="C428" t="s">
        <v>438</v>
      </c>
      <c r="D428">
        <v>300</v>
      </c>
      <c r="E428">
        <v>1571</v>
      </c>
      <c r="F428">
        <v>0.06</v>
      </c>
    </row>
    <row r="429" spans="1:6" hidden="1" x14ac:dyDescent="0.25">
      <c r="A429" t="s">
        <v>311</v>
      </c>
      <c r="B429" t="s">
        <v>109</v>
      </c>
      <c r="C429" t="s">
        <v>439</v>
      </c>
      <c r="D429">
        <v>500</v>
      </c>
      <c r="E429">
        <v>2572</v>
      </c>
      <c r="F429">
        <v>0.63</v>
      </c>
    </row>
    <row r="430" spans="1:6" hidden="1" x14ac:dyDescent="0.25">
      <c r="A430" t="s">
        <v>311</v>
      </c>
      <c r="B430" t="s">
        <v>109</v>
      </c>
      <c r="C430" t="s">
        <v>440</v>
      </c>
      <c r="D430">
        <v>700</v>
      </c>
      <c r="E430">
        <v>3632</v>
      </c>
      <c r="F430">
        <v>2.48</v>
      </c>
    </row>
    <row r="431" spans="1:6" hidden="1" x14ac:dyDescent="0.25">
      <c r="A431" t="s">
        <v>311</v>
      </c>
      <c r="B431" t="s">
        <v>109</v>
      </c>
      <c r="C431" t="s">
        <v>441</v>
      </c>
      <c r="D431">
        <v>800</v>
      </c>
      <c r="E431">
        <v>4018</v>
      </c>
      <c r="F431">
        <v>4.08</v>
      </c>
    </row>
    <row r="432" spans="1:6" hidden="1" x14ac:dyDescent="0.25">
      <c r="A432" t="s">
        <v>311</v>
      </c>
      <c r="B432" t="s">
        <v>109</v>
      </c>
      <c r="C432" t="s">
        <v>442</v>
      </c>
      <c r="D432">
        <v>1000</v>
      </c>
      <c r="E432">
        <v>5346</v>
      </c>
      <c r="F432">
        <v>8.35</v>
      </c>
    </row>
    <row r="433" spans="1:6" hidden="1" x14ac:dyDescent="0.25">
      <c r="A433" t="s">
        <v>311</v>
      </c>
      <c r="B433" t="s">
        <v>109</v>
      </c>
      <c r="C433" t="s">
        <v>443</v>
      </c>
      <c r="D433">
        <v>300</v>
      </c>
      <c r="E433">
        <v>1644</v>
      </c>
      <c r="F433">
        <v>0.06</v>
      </c>
    </row>
    <row r="434" spans="1:6" hidden="1" x14ac:dyDescent="0.25">
      <c r="A434" t="s">
        <v>311</v>
      </c>
      <c r="B434" t="s">
        <v>109</v>
      </c>
      <c r="C434" t="s">
        <v>444</v>
      </c>
      <c r="D434">
        <v>500</v>
      </c>
      <c r="E434">
        <v>2557</v>
      </c>
      <c r="F434">
        <v>0.42</v>
      </c>
    </row>
    <row r="435" spans="1:6" hidden="1" x14ac:dyDescent="0.25">
      <c r="A435" t="s">
        <v>311</v>
      </c>
      <c r="B435" t="s">
        <v>109</v>
      </c>
      <c r="C435" t="s">
        <v>445</v>
      </c>
      <c r="D435">
        <v>700</v>
      </c>
      <c r="E435">
        <v>3656</v>
      </c>
      <c r="F435">
        <v>2.16</v>
      </c>
    </row>
    <row r="436" spans="1:6" hidden="1" x14ac:dyDescent="0.25">
      <c r="A436" t="s">
        <v>311</v>
      </c>
      <c r="B436" t="s">
        <v>109</v>
      </c>
      <c r="C436" t="s">
        <v>446</v>
      </c>
      <c r="D436">
        <v>800</v>
      </c>
      <c r="E436">
        <v>4204</v>
      </c>
      <c r="F436">
        <v>3.61</v>
      </c>
    </row>
    <row r="437" spans="1:6" hidden="1" x14ac:dyDescent="0.25">
      <c r="A437" t="s">
        <v>311</v>
      </c>
      <c r="B437" t="s">
        <v>109</v>
      </c>
      <c r="C437" t="s">
        <v>447</v>
      </c>
      <c r="D437">
        <v>1000</v>
      </c>
      <c r="E437">
        <v>5311</v>
      </c>
      <c r="F437">
        <v>8.82</v>
      </c>
    </row>
    <row r="438" spans="1:6" hidden="1" x14ac:dyDescent="0.25">
      <c r="A438" t="s">
        <v>311</v>
      </c>
      <c r="B438" t="s">
        <v>109</v>
      </c>
      <c r="C438" t="s">
        <v>448</v>
      </c>
      <c r="D438">
        <v>300</v>
      </c>
      <c r="E438">
        <v>1561</v>
      </c>
      <c r="F438">
        <v>7.0000000000000007E-2</v>
      </c>
    </row>
    <row r="439" spans="1:6" hidden="1" x14ac:dyDescent="0.25">
      <c r="A439" t="s">
        <v>311</v>
      </c>
      <c r="B439" t="s">
        <v>109</v>
      </c>
      <c r="C439" t="s">
        <v>449</v>
      </c>
      <c r="D439">
        <v>500</v>
      </c>
      <c r="E439">
        <v>2738</v>
      </c>
      <c r="F439">
        <v>0.6</v>
      </c>
    </row>
    <row r="440" spans="1:6" hidden="1" x14ac:dyDescent="0.25">
      <c r="A440" t="s">
        <v>311</v>
      </c>
      <c r="B440" t="s">
        <v>109</v>
      </c>
      <c r="C440" t="s">
        <v>450</v>
      </c>
      <c r="D440">
        <v>700</v>
      </c>
      <c r="E440">
        <v>3706</v>
      </c>
      <c r="F440">
        <v>2.2000000000000002</v>
      </c>
    </row>
    <row r="441" spans="1:6" hidden="1" x14ac:dyDescent="0.25">
      <c r="A441" t="s">
        <v>311</v>
      </c>
      <c r="B441" t="s">
        <v>109</v>
      </c>
      <c r="C441" t="s">
        <v>451</v>
      </c>
      <c r="D441">
        <v>800</v>
      </c>
      <c r="E441">
        <v>4030</v>
      </c>
      <c r="F441">
        <v>4.07</v>
      </c>
    </row>
    <row r="442" spans="1:6" hidden="1" x14ac:dyDescent="0.25">
      <c r="A442" t="s">
        <v>311</v>
      </c>
      <c r="B442" t="s">
        <v>109</v>
      </c>
      <c r="C442" t="s">
        <v>452</v>
      </c>
      <c r="D442">
        <v>1000</v>
      </c>
      <c r="E442">
        <v>5337</v>
      </c>
      <c r="F442">
        <v>8.77</v>
      </c>
    </row>
    <row r="443" spans="1:6" hidden="1" x14ac:dyDescent="0.25">
      <c r="A443" t="s">
        <v>311</v>
      </c>
      <c r="B443" t="s">
        <v>109</v>
      </c>
      <c r="C443" t="s">
        <v>453</v>
      </c>
      <c r="D443">
        <v>300</v>
      </c>
      <c r="E443">
        <v>1591</v>
      </c>
      <c r="F443">
        <v>0.06</v>
      </c>
    </row>
    <row r="444" spans="1:6" hidden="1" x14ac:dyDescent="0.25">
      <c r="A444" t="s">
        <v>311</v>
      </c>
      <c r="B444" t="s">
        <v>109</v>
      </c>
      <c r="C444" t="s">
        <v>454</v>
      </c>
      <c r="D444">
        <v>500</v>
      </c>
      <c r="E444">
        <v>2688</v>
      </c>
      <c r="F444">
        <v>0.63</v>
      </c>
    </row>
    <row r="445" spans="1:6" hidden="1" x14ac:dyDescent="0.25">
      <c r="A445" t="s">
        <v>311</v>
      </c>
      <c r="B445" t="s">
        <v>109</v>
      </c>
      <c r="C445" t="s">
        <v>455</v>
      </c>
      <c r="D445">
        <v>700</v>
      </c>
      <c r="E445">
        <v>3942</v>
      </c>
      <c r="F445">
        <v>2.0699999999999998</v>
      </c>
    </row>
    <row r="446" spans="1:6" hidden="1" x14ac:dyDescent="0.25">
      <c r="A446" t="s">
        <v>311</v>
      </c>
      <c r="B446" t="s">
        <v>109</v>
      </c>
      <c r="C446" t="s">
        <v>456</v>
      </c>
      <c r="D446">
        <v>800</v>
      </c>
      <c r="E446">
        <v>4176</v>
      </c>
      <c r="F446">
        <v>4.3099999999999996</v>
      </c>
    </row>
    <row r="447" spans="1:6" hidden="1" x14ac:dyDescent="0.25">
      <c r="A447" t="s">
        <v>311</v>
      </c>
      <c r="B447" t="s">
        <v>109</v>
      </c>
      <c r="C447" t="s">
        <v>457</v>
      </c>
      <c r="D447">
        <v>1000</v>
      </c>
      <c r="E447">
        <v>5163</v>
      </c>
      <c r="F447">
        <v>10.25</v>
      </c>
    </row>
    <row r="448" spans="1:6" hidden="1" x14ac:dyDescent="0.25">
      <c r="A448" t="s">
        <v>311</v>
      </c>
      <c r="B448" t="s">
        <v>109</v>
      </c>
      <c r="C448" t="s">
        <v>458</v>
      </c>
      <c r="D448">
        <v>300</v>
      </c>
      <c r="E448">
        <v>1600</v>
      </c>
      <c r="F448">
        <v>7.0000000000000007E-2</v>
      </c>
    </row>
    <row r="449" spans="1:6" hidden="1" x14ac:dyDescent="0.25">
      <c r="A449" t="s">
        <v>311</v>
      </c>
      <c r="B449" t="s">
        <v>109</v>
      </c>
      <c r="C449" t="s">
        <v>459</v>
      </c>
      <c r="D449">
        <v>500</v>
      </c>
      <c r="E449">
        <v>2506</v>
      </c>
      <c r="F449">
        <v>0.54</v>
      </c>
    </row>
    <row r="450" spans="1:6" hidden="1" x14ac:dyDescent="0.25">
      <c r="A450" t="s">
        <v>311</v>
      </c>
      <c r="B450" t="s">
        <v>109</v>
      </c>
      <c r="C450" t="s">
        <v>460</v>
      </c>
      <c r="D450">
        <v>700</v>
      </c>
      <c r="E450">
        <v>3658</v>
      </c>
      <c r="F450">
        <v>2</v>
      </c>
    </row>
    <row r="451" spans="1:6" hidden="1" x14ac:dyDescent="0.25">
      <c r="A451" t="s">
        <v>311</v>
      </c>
      <c r="B451" t="s">
        <v>109</v>
      </c>
      <c r="C451" t="s">
        <v>461</v>
      </c>
      <c r="D451">
        <v>800</v>
      </c>
      <c r="E451">
        <v>4069</v>
      </c>
      <c r="F451">
        <v>3.34</v>
      </c>
    </row>
    <row r="452" spans="1:6" hidden="1" x14ac:dyDescent="0.25">
      <c r="A452" t="s">
        <v>462</v>
      </c>
      <c r="B452" t="s">
        <v>7</v>
      </c>
      <c r="C452" t="s">
        <v>463</v>
      </c>
      <c r="D452">
        <v>1000</v>
      </c>
      <c r="E452">
        <v>4299</v>
      </c>
      <c r="F452">
        <v>21.61</v>
      </c>
    </row>
    <row r="453" spans="1:6" hidden="1" x14ac:dyDescent="0.25">
      <c r="A453" t="s">
        <v>462</v>
      </c>
      <c r="B453" t="s">
        <v>7</v>
      </c>
      <c r="C453" t="s">
        <v>464</v>
      </c>
      <c r="D453">
        <v>300</v>
      </c>
      <c r="E453">
        <v>1304</v>
      </c>
      <c r="F453">
        <v>0.28999999999999998</v>
      </c>
    </row>
    <row r="454" spans="1:6" hidden="1" x14ac:dyDescent="0.25">
      <c r="A454" t="s">
        <v>462</v>
      </c>
      <c r="B454" t="s">
        <v>7</v>
      </c>
      <c r="C454" t="s">
        <v>465</v>
      </c>
      <c r="D454">
        <v>500</v>
      </c>
      <c r="E454">
        <v>2157</v>
      </c>
      <c r="F454">
        <v>1.44</v>
      </c>
    </row>
    <row r="455" spans="1:6" hidden="1" x14ac:dyDescent="0.25">
      <c r="A455" t="s">
        <v>462</v>
      </c>
      <c r="B455" t="s">
        <v>7</v>
      </c>
      <c r="C455" t="s">
        <v>466</v>
      </c>
      <c r="D455">
        <v>700</v>
      </c>
      <c r="E455">
        <v>2984</v>
      </c>
      <c r="F455">
        <v>5.16</v>
      </c>
    </row>
    <row r="456" spans="1:6" hidden="1" x14ac:dyDescent="0.25">
      <c r="A456" t="s">
        <v>462</v>
      </c>
      <c r="B456" t="s">
        <v>7</v>
      </c>
      <c r="C456" t="s">
        <v>467</v>
      </c>
      <c r="D456">
        <v>800</v>
      </c>
      <c r="E456">
        <v>3479</v>
      </c>
      <c r="F456">
        <v>8.93</v>
      </c>
    </row>
    <row r="457" spans="1:6" hidden="1" x14ac:dyDescent="0.25">
      <c r="A457" t="s">
        <v>462</v>
      </c>
      <c r="B457" t="s">
        <v>7</v>
      </c>
      <c r="C457" t="s">
        <v>468</v>
      </c>
      <c r="D457">
        <v>1000</v>
      </c>
      <c r="E457">
        <v>4460</v>
      </c>
      <c r="F457">
        <v>21.65</v>
      </c>
    </row>
    <row r="458" spans="1:6" hidden="1" x14ac:dyDescent="0.25">
      <c r="A458" t="s">
        <v>462</v>
      </c>
      <c r="B458" t="s">
        <v>7</v>
      </c>
      <c r="C458" t="s">
        <v>469</v>
      </c>
      <c r="D458">
        <v>300</v>
      </c>
      <c r="E458">
        <v>1244</v>
      </c>
      <c r="F458">
        <v>0.3</v>
      </c>
    </row>
    <row r="459" spans="1:6" hidden="1" x14ac:dyDescent="0.25">
      <c r="A459" t="s">
        <v>462</v>
      </c>
      <c r="B459" t="s">
        <v>7</v>
      </c>
      <c r="C459" t="s">
        <v>470</v>
      </c>
      <c r="D459">
        <v>500</v>
      </c>
      <c r="E459">
        <v>2160</v>
      </c>
      <c r="F459">
        <v>1.73</v>
      </c>
    </row>
    <row r="460" spans="1:6" hidden="1" x14ac:dyDescent="0.25">
      <c r="A460" t="s">
        <v>462</v>
      </c>
      <c r="B460" t="s">
        <v>7</v>
      </c>
      <c r="C460" t="s">
        <v>471</v>
      </c>
      <c r="D460">
        <v>700</v>
      </c>
      <c r="E460">
        <v>3026</v>
      </c>
      <c r="F460">
        <v>6.18</v>
      </c>
    </row>
    <row r="461" spans="1:6" hidden="1" x14ac:dyDescent="0.25">
      <c r="A461" t="s">
        <v>462</v>
      </c>
      <c r="B461" t="s">
        <v>7</v>
      </c>
      <c r="C461" t="s">
        <v>472</v>
      </c>
      <c r="D461">
        <v>800</v>
      </c>
      <c r="E461">
        <v>3221</v>
      </c>
      <c r="F461">
        <v>9.82</v>
      </c>
    </row>
    <row r="462" spans="1:6" hidden="1" x14ac:dyDescent="0.25">
      <c r="A462" t="s">
        <v>462</v>
      </c>
      <c r="B462" t="s">
        <v>7</v>
      </c>
      <c r="C462" t="s">
        <v>473</v>
      </c>
      <c r="D462">
        <v>1000</v>
      </c>
      <c r="E462">
        <v>4186</v>
      </c>
      <c r="F462">
        <v>20.74</v>
      </c>
    </row>
    <row r="463" spans="1:6" hidden="1" x14ac:dyDescent="0.25">
      <c r="A463" t="s">
        <v>462</v>
      </c>
      <c r="B463" t="s">
        <v>7</v>
      </c>
      <c r="C463" t="s">
        <v>474</v>
      </c>
      <c r="D463">
        <v>300</v>
      </c>
      <c r="E463">
        <v>1349</v>
      </c>
      <c r="F463">
        <v>0.34</v>
      </c>
    </row>
    <row r="464" spans="1:6" hidden="1" x14ac:dyDescent="0.25">
      <c r="A464" t="s">
        <v>462</v>
      </c>
      <c r="B464" t="s">
        <v>7</v>
      </c>
      <c r="C464" t="s">
        <v>475</v>
      </c>
      <c r="D464">
        <v>500</v>
      </c>
      <c r="E464">
        <v>2150</v>
      </c>
      <c r="F464">
        <v>1.56</v>
      </c>
    </row>
    <row r="465" spans="1:6" hidden="1" x14ac:dyDescent="0.25">
      <c r="A465" t="s">
        <v>462</v>
      </c>
      <c r="B465" t="s">
        <v>7</v>
      </c>
      <c r="C465" t="s">
        <v>476</v>
      </c>
      <c r="D465">
        <v>700</v>
      </c>
      <c r="E465">
        <v>2996</v>
      </c>
      <c r="F465">
        <v>4.53</v>
      </c>
    </row>
    <row r="466" spans="1:6" hidden="1" x14ac:dyDescent="0.25">
      <c r="A466" t="s">
        <v>462</v>
      </c>
      <c r="B466" t="s">
        <v>7</v>
      </c>
      <c r="C466" t="s">
        <v>477</v>
      </c>
      <c r="D466">
        <v>800</v>
      </c>
      <c r="E466">
        <v>3538</v>
      </c>
      <c r="F466">
        <v>7.25</v>
      </c>
    </row>
    <row r="467" spans="1:6" hidden="1" x14ac:dyDescent="0.25">
      <c r="A467" t="s">
        <v>462</v>
      </c>
      <c r="B467" t="s">
        <v>7</v>
      </c>
      <c r="C467" t="s">
        <v>478</v>
      </c>
      <c r="D467">
        <v>1000</v>
      </c>
      <c r="E467">
        <v>4552</v>
      </c>
      <c r="F467">
        <v>23.61</v>
      </c>
    </row>
    <row r="468" spans="1:6" hidden="1" x14ac:dyDescent="0.25">
      <c r="A468" t="s">
        <v>462</v>
      </c>
      <c r="B468" t="s">
        <v>7</v>
      </c>
      <c r="C468" t="s">
        <v>479</v>
      </c>
      <c r="D468">
        <v>300</v>
      </c>
      <c r="E468">
        <v>1296</v>
      </c>
      <c r="F468">
        <v>0.25</v>
      </c>
    </row>
    <row r="469" spans="1:6" hidden="1" x14ac:dyDescent="0.25">
      <c r="A469" t="s">
        <v>462</v>
      </c>
      <c r="B469" t="s">
        <v>7</v>
      </c>
      <c r="C469" t="s">
        <v>480</v>
      </c>
      <c r="D469">
        <v>500</v>
      </c>
      <c r="E469">
        <v>2173</v>
      </c>
      <c r="F469">
        <v>1.6</v>
      </c>
    </row>
    <row r="470" spans="1:6" hidden="1" x14ac:dyDescent="0.25">
      <c r="A470" t="s">
        <v>462</v>
      </c>
      <c r="B470" t="s">
        <v>7</v>
      </c>
      <c r="C470" t="s">
        <v>481</v>
      </c>
      <c r="D470">
        <v>700</v>
      </c>
      <c r="E470">
        <v>3033</v>
      </c>
      <c r="F470">
        <v>5.81</v>
      </c>
    </row>
    <row r="471" spans="1:6" hidden="1" x14ac:dyDescent="0.25">
      <c r="A471" t="s">
        <v>462</v>
      </c>
      <c r="B471" t="s">
        <v>7</v>
      </c>
      <c r="C471" t="s">
        <v>482</v>
      </c>
      <c r="D471">
        <v>800</v>
      </c>
      <c r="E471">
        <v>3468</v>
      </c>
      <c r="F471">
        <v>8.75</v>
      </c>
    </row>
    <row r="472" spans="1:6" hidden="1" x14ac:dyDescent="0.25">
      <c r="A472" t="s">
        <v>462</v>
      </c>
      <c r="B472" t="s">
        <v>7</v>
      </c>
      <c r="C472" t="s">
        <v>483</v>
      </c>
      <c r="D472">
        <v>1000</v>
      </c>
      <c r="E472">
        <v>4494</v>
      </c>
      <c r="F472">
        <v>21.63</v>
      </c>
    </row>
    <row r="473" spans="1:6" hidden="1" x14ac:dyDescent="0.25">
      <c r="A473" t="s">
        <v>462</v>
      </c>
      <c r="B473" t="s">
        <v>7</v>
      </c>
      <c r="C473" t="s">
        <v>484</v>
      </c>
      <c r="D473">
        <v>300</v>
      </c>
      <c r="E473">
        <v>1257</v>
      </c>
      <c r="F473">
        <v>0.26</v>
      </c>
    </row>
    <row r="474" spans="1:6" hidden="1" x14ac:dyDescent="0.25">
      <c r="A474" t="s">
        <v>462</v>
      </c>
      <c r="B474" t="s">
        <v>7</v>
      </c>
      <c r="C474" t="s">
        <v>485</v>
      </c>
      <c r="D474">
        <v>500</v>
      </c>
      <c r="E474">
        <v>2203</v>
      </c>
      <c r="F474">
        <v>1.89</v>
      </c>
    </row>
    <row r="475" spans="1:6" hidden="1" x14ac:dyDescent="0.25">
      <c r="A475" t="s">
        <v>462</v>
      </c>
      <c r="B475" t="s">
        <v>7</v>
      </c>
      <c r="C475" t="s">
        <v>486</v>
      </c>
      <c r="D475">
        <v>700</v>
      </c>
      <c r="E475">
        <v>3027</v>
      </c>
      <c r="F475">
        <v>6</v>
      </c>
    </row>
    <row r="476" spans="1:6" hidden="1" x14ac:dyDescent="0.25">
      <c r="A476" t="s">
        <v>462</v>
      </c>
      <c r="B476" t="s">
        <v>7</v>
      </c>
      <c r="C476" t="s">
        <v>487</v>
      </c>
      <c r="D476">
        <v>800</v>
      </c>
      <c r="E476">
        <v>3462</v>
      </c>
      <c r="F476">
        <v>8.3800000000000008</v>
      </c>
    </row>
    <row r="477" spans="1:6" hidden="1" x14ac:dyDescent="0.25">
      <c r="A477" t="s">
        <v>462</v>
      </c>
      <c r="B477" t="s">
        <v>7</v>
      </c>
      <c r="C477" t="s">
        <v>488</v>
      </c>
      <c r="D477">
        <v>1000</v>
      </c>
      <c r="E477">
        <v>4495</v>
      </c>
      <c r="F477">
        <v>22.49</v>
      </c>
    </row>
    <row r="478" spans="1:6" hidden="1" x14ac:dyDescent="0.25">
      <c r="A478" t="s">
        <v>462</v>
      </c>
      <c r="B478" t="s">
        <v>7</v>
      </c>
      <c r="C478" t="s">
        <v>489</v>
      </c>
      <c r="D478">
        <v>300</v>
      </c>
      <c r="E478">
        <v>1299</v>
      </c>
      <c r="F478">
        <v>0.31</v>
      </c>
    </row>
    <row r="479" spans="1:6" hidden="1" x14ac:dyDescent="0.25">
      <c r="A479" t="s">
        <v>462</v>
      </c>
      <c r="B479" t="s">
        <v>7</v>
      </c>
      <c r="C479" t="s">
        <v>490</v>
      </c>
      <c r="D479">
        <v>500</v>
      </c>
      <c r="E479">
        <v>2352</v>
      </c>
      <c r="F479">
        <v>1.9</v>
      </c>
    </row>
    <row r="480" spans="1:6" hidden="1" x14ac:dyDescent="0.25">
      <c r="A480" t="s">
        <v>462</v>
      </c>
      <c r="B480" t="s">
        <v>7</v>
      </c>
      <c r="C480" t="s">
        <v>491</v>
      </c>
      <c r="D480">
        <v>700</v>
      </c>
      <c r="E480">
        <v>3046</v>
      </c>
      <c r="F480">
        <v>5.7</v>
      </c>
    </row>
    <row r="481" spans="1:6" hidden="1" x14ac:dyDescent="0.25">
      <c r="A481" t="s">
        <v>462</v>
      </c>
      <c r="B481" t="s">
        <v>7</v>
      </c>
      <c r="C481" t="s">
        <v>492</v>
      </c>
      <c r="D481">
        <v>800</v>
      </c>
      <c r="E481">
        <v>3386</v>
      </c>
      <c r="F481">
        <v>9.81</v>
      </c>
    </row>
    <row r="482" spans="1:6" hidden="1" x14ac:dyDescent="0.25">
      <c r="A482" t="s">
        <v>462</v>
      </c>
      <c r="B482" t="s">
        <v>7</v>
      </c>
      <c r="C482" t="s">
        <v>493</v>
      </c>
      <c r="D482">
        <v>1000</v>
      </c>
      <c r="E482">
        <v>4467</v>
      </c>
      <c r="F482">
        <v>23.81</v>
      </c>
    </row>
    <row r="483" spans="1:6" hidden="1" x14ac:dyDescent="0.25">
      <c r="A483" t="s">
        <v>462</v>
      </c>
      <c r="B483" t="s">
        <v>7</v>
      </c>
      <c r="C483" t="s">
        <v>494</v>
      </c>
      <c r="D483">
        <v>300</v>
      </c>
      <c r="E483">
        <v>1248</v>
      </c>
      <c r="F483">
        <v>0.27</v>
      </c>
    </row>
    <row r="484" spans="1:6" hidden="1" x14ac:dyDescent="0.25">
      <c r="A484" t="s">
        <v>462</v>
      </c>
      <c r="B484" t="s">
        <v>7</v>
      </c>
      <c r="C484" t="s">
        <v>495</v>
      </c>
      <c r="D484">
        <v>500</v>
      </c>
      <c r="E484">
        <v>2110</v>
      </c>
      <c r="F484">
        <v>1.42</v>
      </c>
    </row>
    <row r="485" spans="1:6" hidden="1" x14ac:dyDescent="0.25">
      <c r="A485" t="s">
        <v>462</v>
      </c>
      <c r="B485" t="s">
        <v>7</v>
      </c>
      <c r="C485" t="s">
        <v>496</v>
      </c>
      <c r="D485">
        <v>700</v>
      </c>
      <c r="E485">
        <v>3037</v>
      </c>
      <c r="F485">
        <v>5.36</v>
      </c>
    </row>
    <row r="486" spans="1:6" hidden="1" x14ac:dyDescent="0.25">
      <c r="A486" t="s">
        <v>462</v>
      </c>
      <c r="B486" t="s">
        <v>7</v>
      </c>
      <c r="C486" t="s">
        <v>497</v>
      </c>
      <c r="D486">
        <v>800</v>
      </c>
      <c r="E486">
        <v>3393</v>
      </c>
      <c r="F486">
        <v>9.8699999999999992</v>
      </c>
    </row>
    <row r="487" spans="1:6" hidden="1" x14ac:dyDescent="0.25">
      <c r="A487" t="s">
        <v>462</v>
      </c>
      <c r="B487" t="s">
        <v>7</v>
      </c>
      <c r="C487" t="s">
        <v>498</v>
      </c>
      <c r="D487">
        <v>1000</v>
      </c>
      <c r="E487">
        <v>4339</v>
      </c>
      <c r="F487">
        <v>20.76</v>
      </c>
    </row>
    <row r="488" spans="1:6" hidden="1" x14ac:dyDescent="0.25">
      <c r="A488" t="s">
        <v>462</v>
      </c>
      <c r="B488" t="s">
        <v>7</v>
      </c>
      <c r="C488" t="s">
        <v>499</v>
      </c>
      <c r="D488">
        <v>300</v>
      </c>
      <c r="E488">
        <v>1295</v>
      </c>
      <c r="F488">
        <v>0.3</v>
      </c>
    </row>
    <row r="489" spans="1:6" hidden="1" x14ac:dyDescent="0.25">
      <c r="A489" t="s">
        <v>462</v>
      </c>
      <c r="B489" t="s">
        <v>7</v>
      </c>
      <c r="C489" t="s">
        <v>500</v>
      </c>
      <c r="D489">
        <v>500</v>
      </c>
      <c r="E489">
        <v>2117</v>
      </c>
      <c r="F489">
        <v>1.8</v>
      </c>
    </row>
    <row r="490" spans="1:6" hidden="1" x14ac:dyDescent="0.25">
      <c r="A490" t="s">
        <v>462</v>
      </c>
      <c r="B490" t="s">
        <v>7</v>
      </c>
      <c r="C490" t="s">
        <v>501</v>
      </c>
      <c r="D490">
        <v>700</v>
      </c>
      <c r="E490">
        <v>3172</v>
      </c>
      <c r="F490">
        <v>5.65</v>
      </c>
    </row>
    <row r="491" spans="1:6" hidden="1" x14ac:dyDescent="0.25">
      <c r="A491" t="s">
        <v>462</v>
      </c>
      <c r="B491" t="s">
        <v>7</v>
      </c>
      <c r="C491" t="s">
        <v>502</v>
      </c>
      <c r="D491">
        <v>800</v>
      </c>
      <c r="E491">
        <v>3426</v>
      </c>
      <c r="F491">
        <v>9.5</v>
      </c>
    </row>
    <row r="492" spans="1:6" hidden="1" x14ac:dyDescent="0.25">
      <c r="A492" t="s">
        <v>462</v>
      </c>
      <c r="B492" t="s">
        <v>7</v>
      </c>
      <c r="C492" t="s">
        <v>503</v>
      </c>
      <c r="D492">
        <v>1000</v>
      </c>
      <c r="E492">
        <v>4233</v>
      </c>
      <c r="F492">
        <v>23.2</v>
      </c>
    </row>
    <row r="493" spans="1:6" hidden="1" x14ac:dyDescent="0.25">
      <c r="A493" t="s">
        <v>462</v>
      </c>
      <c r="B493" t="s">
        <v>7</v>
      </c>
      <c r="C493" t="s">
        <v>504</v>
      </c>
      <c r="D493">
        <v>300</v>
      </c>
      <c r="E493">
        <v>1317</v>
      </c>
      <c r="F493">
        <v>0.32</v>
      </c>
    </row>
    <row r="494" spans="1:6" hidden="1" x14ac:dyDescent="0.25">
      <c r="A494" t="s">
        <v>462</v>
      </c>
      <c r="B494" t="s">
        <v>7</v>
      </c>
      <c r="C494" t="s">
        <v>505</v>
      </c>
      <c r="D494">
        <v>500</v>
      </c>
      <c r="E494">
        <v>2255</v>
      </c>
      <c r="F494">
        <v>1.68</v>
      </c>
    </row>
    <row r="495" spans="1:6" hidden="1" x14ac:dyDescent="0.25">
      <c r="A495" t="s">
        <v>462</v>
      </c>
      <c r="B495" t="s">
        <v>7</v>
      </c>
      <c r="C495" t="s">
        <v>506</v>
      </c>
      <c r="D495">
        <v>700</v>
      </c>
      <c r="E495">
        <v>3035</v>
      </c>
      <c r="F495">
        <v>6.23</v>
      </c>
    </row>
    <row r="496" spans="1:6" hidden="1" x14ac:dyDescent="0.25">
      <c r="A496" t="s">
        <v>462</v>
      </c>
      <c r="B496" t="s">
        <v>7</v>
      </c>
      <c r="C496" t="s">
        <v>507</v>
      </c>
      <c r="D496">
        <v>800</v>
      </c>
      <c r="E496">
        <v>3476</v>
      </c>
      <c r="F496">
        <v>9.73</v>
      </c>
    </row>
    <row r="497" spans="1:6" hidden="1" x14ac:dyDescent="0.25">
      <c r="A497" t="s">
        <v>462</v>
      </c>
      <c r="B497" t="s">
        <v>7</v>
      </c>
      <c r="C497" t="s">
        <v>508</v>
      </c>
      <c r="D497">
        <v>1000</v>
      </c>
      <c r="E497">
        <v>4314</v>
      </c>
      <c r="F497">
        <v>20.36</v>
      </c>
    </row>
    <row r="498" spans="1:6" hidden="1" x14ac:dyDescent="0.25">
      <c r="A498" t="s">
        <v>462</v>
      </c>
      <c r="B498" t="s">
        <v>7</v>
      </c>
      <c r="C498" t="s">
        <v>509</v>
      </c>
      <c r="D498">
        <v>300</v>
      </c>
      <c r="E498">
        <v>1280</v>
      </c>
      <c r="F498">
        <v>0.27</v>
      </c>
    </row>
    <row r="499" spans="1:6" hidden="1" x14ac:dyDescent="0.25">
      <c r="A499" t="s">
        <v>462</v>
      </c>
      <c r="B499" t="s">
        <v>7</v>
      </c>
      <c r="C499" t="s">
        <v>510</v>
      </c>
      <c r="D499">
        <v>500</v>
      </c>
      <c r="E499">
        <v>2103</v>
      </c>
      <c r="F499">
        <v>1.75</v>
      </c>
    </row>
    <row r="500" spans="1:6" hidden="1" x14ac:dyDescent="0.25">
      <c r="A500" t="s">
        <v>462</v>
      </c>
      <c r="B500" t="s">
        <v>7</v>
      </c>
      <c r="C500" t="s">
        <v>511</v>
      </c>
      <c r="D500">
        <v>700</v>
      </c>
      <c r="E500">
        <v>3099</v>
      </c>
      <c r="F500">
        <v>5.25</v>
      </c>
    </row>
    <row r="501" spans="1:6" hidden="1" x14ac:dyDescent="0.25">
      <c r="A501" t="s">
        <v>462</v>
      </c>
      <c r="B501" t="s">
        <v>7</v>
      </c>
      <c r="C501" t="s">
        <v>512</v>
      </c>
      <c r="D501">
        <v>800</v>
      </c>
      <c r="E501">
        <v>3493</v>
      </c>
      <c r="F501">
        <v>9.76</v>
      </c>
    </row>
    <row r="502" spans="1:6" hidden="1" x14ac:dyDescent="0.25">
      <c r="A502" t="s">
        <v>462</v>
      </c>
      <c r="B502" t="s">
        <v>58</v>
      </c>
      <c r="C502" t="s">
        <v>513</v>
      </c>
      <c r="D502">
        <v>1000</v>
      </c>
      <c r="E502">
        <v>4372</v>
      </c>
      <c r="F502">
        <v>21.56</v>
      </c>
    </row>
    <row r="503" spans="1:6" hidden="1" x14ac:dyDescent="0.25">
      <c r="A503" t="s">
        <v>462</v>
      </c>
      <c r="B503" t="s">
        <v>58</v>
      </c>
      <c r="C503" t="s">
        <v>514</v>
      </c>
      <c r="D503">
        <v>300</v>
      </c>
      <c r="E503">
        <v>1305</v>
      </c>
      <c r="F503">
        <v>0.31</v>
      </c>
    </row>
    <row r="504" spans="1:6" hidden="1" x14ac:dyDescent="0.25">
      <c r="A504" t="s">
        <v>462</v>
      </c>
      <c r="B504" t="s">
        <v>58</v>
      </c>
      <c r="C504" t="s">
        <v>515</v>
      </c>
      <c r="D504">
        <v>500</v>
      </c>
      <c r="E504">
        <v>2131</v>
      </c>
      <c r="F504">
        <v>2.0499999999999998</v>
      </c>
    </row>
    <row r="505" spans="1:6" hidden="1" x14ac:dyDescent="0.25">
      <c r="A505" t="s">
        <v>462</v>
      </c>
      <c r="B505" t="s">
        <v>58</v>
      </c>
      <c r="C505" t="s">
        <v>516</v>
      </c>
      <c r="D505">
        <v>700</v>
      </c>
      <c r="E505">
        <v>3218</v>
      </c>
      <c r="F505">
        <v>5.82</v>
      </c>
    </row>
    <row r="506" spans="1:6" hidden="1" x14ac:dyDescent="0.25">
      <c r="A506" t="s">
        <v>462</v>
      </c>
      <c r="B506" t="s">
        <v>58</v>
      </c>
      <c r="C506" t="s">
        <v>517</v>
      </c>
      <c r="D506">
        <v>800</v>
      </c>
      <c r="E506">
        <v>3425</v>
      </c>
      <c r="F506">
        <v>8.66</v>
      </c>
    </row>
    <row r="507" spans="1:6" hidden="1" x14ac:dyDescent="0.25">
      <c r="A507" t="s">
        <v>462</v>
      </c>
      <c r="B507" t="s">
        <v>58</v>
      </c>
      <c r="C507" t="s">
        <v>518</v>
      </c>
      <c r="D507">
        <v>1000</v>
      </c>
      <c r="E507">
        <v>4471</v>
      </c>
      <c r="F507">
        <v>21.04</v>
      </c>
    </row>
    <row r="508" spans="1:6" hidden="1" x14ac:dyDescent="0.25">
      <c r="A508" t="s">
        <v>462</v>
      </c>
      <c r="B508" t="s">
        <v>58</v>
      </c>
      <c r="C508" t="s">
        <v>519</v>
      </c>
      <c r="D508">
        <v>300</v>
      </c>
      <c r="E508">
        <v>1273</v>
      </c>
      <c r="F508">
        <v>0.28999999999999998</v>
      </c>
    </row>
    <row r="509" spans="1:6" hidden="1" x14ac:dyDescent="0.25">
      <c r="A509" t="s">
        <v>462</v>
      </c>
      <c r="B509" t="s">
        <v>58</v>
      </c>
      <c r="C509" t="s">
        <v>520</v>
      </c>
      <c r="D509">
        <v>500</v>
      </c>
      <c r="E509">
        <v>2201</v>
      </c>
      <c r="F509">
        <v>1.83</v>
      </c>
    </row>
    <row r="510" spans="1:6" hidden="1" x14ac:dyDescent="0.25">
      <c r="A510" t="s">
        <v>462</v>
      </c>
      <c r="B510" t="s">
        <v>58</v>
      </c>
      <c r="C510" t="s">
        <v>521</v>
      </c>
      <c r="D510">
        <v>700</v>
      </c>
      <c r="E510">
        <v>3114</v>
      </c>
      <c r="F510">
        <v>6.55</v>
      </c>
    </row>
    <row r="511" spans="1:6" hidden="1" x14ac:dyDescent="0.25">
      <c r="A511" t="s">
        <v>462</v>
      </c>
      <c r="B511" t="s">
        <v>58</v>
      </c>
      <c r="C511" t="s">
        <v>522</v>
      </c>
      <c r="D511">
        <v>800</v>
      </c>
      <c r="E511">
        <v>3517</v>
      </c>
      <c r="F511">
        <v>9.07</v>
      </c>
    </row>
    <row r="512" spans="1:6" hidden="1" x14ac:dyDescent="0.25">
      <c r="A512" t="s">
        <v>462</v>
      </c>
      <c r="B512" t="s">
        <v>58</v>
      </c>
      <c r="C512" t="s">
        <v>523</v>
      </c>
      <c r="D512">
        <v>1000</v>
      </c>
      <c r="E512">
        <v>4468</v>
      </c>
      <c r="F512">
        <v>23.75</v>
      </c>
    </row>
    <row r="513" spans="1:6" hidden="1" x14ac:dyDescent="0.25">
      <c r="A513" t="s">
        <v>462</v>
      </c>
      <c r="B513" t="s">
        <v>58</v>
      </c>
      <c r="C513" t="s">
        <v>524</v>
      </c>
      <c r="D513">
        <v>300</v>
      </c>
      <c r="E513">
        <v>1347</v>
      </c>
      <c r="F513">
        <v>0.3</v>
      </c>
    </row>
    <row r="514" spans="1:6" hidden="1" x14ac:dyDescent="0.25">
      <c r="A514" t="s">
        <v>462</v>
      </c>
      <c r="B514" t="s">
        <v>58</v>
      </c>
      <c r="C514" t="s">
        <v>525</v>
      </c>
      <c r="D514">
        <v>500</v>
      </c>
      <c r="E514">
        <v>2304</v>
      </c>
      <c r="F514">
        <v>2.0299999999999998</v>
      </c>
    </row>
    <row r="515" spans="1:6" hidden="1" x14ac:dyDescent="0.25">
      <c r="A515" t="s">
        <v>462</v>
      </c>
      <c r="B515" t="s">
        <v>58</v>
      </c>
      <c r="C515" t="s">
        <v>526</v>
      </c>
      <c r="D515">
        <v>700</v>
      </c>
      <c r="E515">
        <v>3109</v>
      </c>
      <c r="F515">
        <v>5.39</v>
      </c>
    </row>
    <row r="516" spans="1:6" hidden="1" x14ac:dyDescent="0.25">
      <c r="A516" t="s">
        <v>462</v>
      </c>
      <c r="B516" t="s">
        <v>58</v>
      </c>
      <c r="C516" t="s">
        <v>527</v>
      </c>
      <c r="D516">
        <v>800</v>
      </c>
      <c r="E516">
        <v>3522</v>
      </c>
      <c r="F516">
        <v>9.8000000000000007</v>
      </c>
    </row>
    <row r="517" spans="1:6" hidden="1" x14ac:dyDescent="0.25">
      <c r="A517" t="s">
        <v>462</v>
      </c>
      <c r="B517" t="s">
        <v>58</v>
      </c>
      <c r="C517" t="s">
        <v>528</v>
      </c>
      <c r="D517">
        <v>1000</v>
      </c>
      <c r="E517">
        <v>4625</v>
      </c>
      <c r="F517">
        <v>20.87</v>
      </c>
    </row>
    <row r="518" spans="1:6" hidden="1" x14ac:dyDescent="0.25">
      <c r="A518" t="s">
        <v>462</v>
      </c>
      <c r="B518" t="s">
        <v>58</v>
      </c>
      <c r="C518" t="s">
        <v>529</v>
      </c>
      <c r="D518">
        <v>300</v>
      </c>
      <c r="E518">
        <v>1297</v>
      </c>
      <c r="F518">
        <v>0.28999999999999998</v>
      </c>
    </row>
    <row r="519" spans="1:6" hidden="1" x14ac:dyDescent="0.25">
      <c r="A519" t="s">
        <v>462</v>
      </c>
      <c r="B519" t="s">
        <v>58</v>
      </c>
      <c r="C519" t="s">
        <v>530</v>
      </c>
      <c r="D519">
        <v>500</v>
      </c>
      <c r="E519">
        <v>2130</v>
      </c>
      <c r="F519">
        <v>1.86</v>
      </c>
    </row>
    <row r="520" spans="1:6" hidden="1" x14ac:dyDescent="0.25">
      <c r="A520" t="s">
        <v>462</v>
      </c>
      <c r="B520" t="s">
        <v>58</v>
      </c>
      <c r="C520" t="s">
        <v>531</v>
      </c>
      <c r="D520">
        <v>700</v>
      </c>
      <c r="E520">
        <v>3075</v>
      </c>
      <c r="F520">
        <v>5.95</v>
      </c>
    </row>
    <row r="521" spans="1:6" hidden="1" x14ac:dyDescent="0.25">
      <c r="A521" t="s">
        <v>462</v>
      </c>
      <c r="B521" t="s">
        <v>58</v>
      </c>
      <c r="C521" t="s">
        <v>532</v>
      </c>
      <c r="D521">
        <v>800</v>
      </c>
      <c r="E521">
        <v>3498</v>
      </c>
      <c r="F521">
        <v>8.84</v>
      </c>
    </row>
    <row r="522" spans="1:6" hidden="1" x14ac:dyDescent="0.25">
      <c r="A522" t="s">
        <v>462</v>
      </c>
      <c r="B522" t="s">
        <v>58</v>
      </c>
      <c r="C522" t="s">
        <v>533</v>
      </c>
      <c r="D522">
        <v>1000</v>
      </c>
      <c r="E522">
        <v>4237</v>
      </c>
      <c r="F522">
        <v>20.65</v>
      </c>
    </row>
    <row r="523" spans="1:6" hidden="1" x14ac:dyDescent="0.25">
      <c r="A523" t="s">
        <v>462</v>
      </c>
      <c r="B523" t="s">
        <v>58</v>
      </c>
      <c r="C523" t="s">
        <v>534</v>
      </c>
      <c r="D523">
        <v>300</v>
      </c>
      <c r="E523">
        <v>1278</v>
      </c>
      <c r="F523">
        <v>0.32</v>
      </c>
    </row>
    <row r="524" spans="1:6" hidden="1" x14ac:dyDescent="0.25">
      <c r="A524" t="s">
        <v>462</v>
      </c>
      <c r="B524" t="s">
        <v>58</v>
      </c>
      <c r="C524" t="s">
        <v>535</v>
      </c>
      <c r="D524">
        <v>500</v>
      </c>
      <c r="E524">
        <v>2142</v>
      </c>
      <c r="F524">
        <v>1.77</v>
      </c>
    </row>
    <row r="525" spans="1:6" hidden="1" x14ac:dyDescent="0.25">
      <c r="A525" t="s">
        <v>462</v>
      </c>
      <c r="B525" t="s">
        <v>58</v>
      </c>
      <c r="C525" t="s">
        <v>536</v>
      </c>
      <c r="D525">
        <v>700</v>
      </c>
      <c r="E525">
        <v>3143</v>
      </c>
      <c r="F525">
        <v>6.13</v>
      </c>
    </row>
    <row r="526" spans="1:6" hidden="1" x14ac:dyDescent="0.25">
      <c r="A526" t="s">
        <v>462</v>
      </c>
      <c r="B526" t="s">
        <v>58</v>
      </c>
      <c r="C526" t="s">
        <v>537</v>
      </c>
      <c r="D526">
        <v>800</v>
      </c>
      <c r="E526">
        <v>3541</v>
      </c>
      <c r="F526">
        <v>9.35</v>
      </c>
    </row>
    <row r="527" spans="1:6" hidden="1" x14ac:dyDescent="0.25">
      <c r="A527" t="s">
        <v>462</v>
      </c>
      <c r="B527" t="s">
        <v>58</v>
      </c>
      <c r="C527" t="s">
        <v>538</v>
      </c>
      <c r="D527">
        <v>1000</v>
      </c>
      <c r="E527">
        <v>4408</v>
      </c>
      <c r="F527">
        <v>22.18</v>
      </c>
    </row>
    <row r="528" spans="1:6" hidden="1" x14ac:dyDescent="0.25">
      <c r="A528" t="s">
        <v>462</v>
      </c>
      <c r="B528" t="s">
        <v>58</v>
      </c>
      <c r="C528" t="s">
        <v>539</v>
      </c>
      <c r="D528">
        <v>300</v>
      </c>
      <c r="E528">
        <v>1264</v>
      </c>
      <c r="F528">
        <v>0.23</v>
      </c>
    </row>
    <row r="529" spans="1:6" hidden="1" x14ac:dyDescent="0.25">
      <c r="A529" t="s">
        <v>462</v>
      </c>
      <c r="B529" t="s">
        <v>58</v>
      </c>
      <c r="C529" t="s">
        <v>540</v>
      </c>
      <c r="D529">
        <v>500</v>
      </c>
      <c r="E529">
        <v>2230</v>
      </c>
      <c r="F529">
        <v>1.69</v>
      </c>
    </row>
    <row r="530" spans="1:6" hidden="1" x14ac:dyDescent="0.25">
      <c r="A530" t="s">
        <v>462</v>
      </c>
      <c r="B530" t="s">
        <v>58</v>
      </c>
      <c r="C530" t="s">
        <v>541</v>
      </c>
      <c r="D530">
        <v>700</v>
      </c>
      <c r="E530">
        <v>3076</v>
      </c>
      <c r="F530">
        <v>6.01</v>
      </c>
    </row>
    <row r="531" spans="1:6" hidden="1" x14ac:dyDescent="0.25">
      <c r="A531" t="s">
        <v>462</v>
      </c>
      <c r="B531" t="s">
        <v>58</v>
      </c>
      <c r="C531" t="s">
        <v>542</v>
      </c>
      <c r="D531">
        <v>800</v>
      </c>
      <c r="E531">
        <v>3575</v>
      </c>
      <c r="F531">
        <v>9.65</v>
      </c>
    </row>
    <row r="532" spans="1:6" hidden="1" x14ac:dyDescent="0.25">
      <c r="A532" t="s">
        <v>462</v>
      </c>
      <c r="B532" t="s">
        <v>58</v>
      </c>
      <c r="C532" t="s">
        <v>543</v>
      </c>
      <c r="D532">
        <v>1000</v>
      </c>
      <c r="E532">
        <v>4389</v>
      </c>
      <c r="F532">
        <v>20.74</v>
      </c>
    </row>
    <row r="533" spans="1:6" hidden="1" x14ac:dyDescent="0.25">
      <c r="A533" t="s">
        <v>462</v>
      </c>
      <c r="B533" t="s">
        <v>58</v>
      </c>
      <c r="C533" t="s">
        <v>544</v>
      </c>
      <c r="D533">
        <v>300</v>
      </c>
      <c r="E533">
        <v>1389</v>
      </c>
      <c r="F533">
        <v>0.25</v>
      </c>
    </row>
    <row r="534" spans="1:6" hidden="1" x14ac:dyDescent="0.25">
      <c r="A534" t="s">
        <v>462</v>
      </c>
      <c r="B534" t="s">
        <v>58</v>
      </c>
      <c r="C534" t="s">
        <v>545</v>
      </c>
      <c r="D534">
        <v>500</v>
      </c>
      <c r="E534">
        <v>2241</v>
      </c>
      <c r="F534">
        <v>1.83</v>
      </c>
    </row>
    <row r="535" spans="1:6" hidden="1" x14ac:dyDescent="0.25">
      <c r="A535" t="s">
        <v>462</v>
      </c>
      <c r="B535" t="s">
        <v>58</v>
      </c>
      <c r="C535" t="s">
        <v>546</v>
      </c>
      <c r="D535">
        <v>700</v>
      </c>
      <c r="E535">
        <v>3081</v>
      </c>
      <c r="F535">
        <v>6.07</v>
      </c>
    </row>
    <row r="536" spans="1:6" hidden="1" x14ac:dyDescent="0.25">
      <c r="A536" t="s">
        <v>462</v>
      </c>
      <c r="B536" t="s">
        <v>58</v>
      </c>
      <c r="C536" t="s">
        <v>547</v>
      </c>
      <c r="D536">
        <v>800</v>
      </c>
      <c r="E536">
        <v>3485</v>
      </c>
      <c r="F536">
        <v>8.68</v>
      </c>
    </row>
    <row r="537" spans="1:6" hidden="1" x14ac:dyDescent="0.25">
      <c r="A537" t="s">
        <v>462</v>
      </c>
      <c r="B537" t="s">
        <v>58</v>
      </c>
      <c r="C537" t="s">
        <v>548</v>
      </c>
      <c r="D537">
        <v>1000</v>
      </c>
      <c r="E537">
        <v>4428</v>
      </c>
      <c r="F537">
        <v>19.649999999999999</v>
      </c>
    </row>
    <row r="538" spans="1:6" hidden="1" x14ac:dyDescent="0.25">
      <c r="A538" t="s">
        <v>462</v>
      </c>
      <c r="B538" t="s">
        <v>58</v>
      </c>
      <c r="C538" t="s">
        <v>549</v>
      </c>
      <c r="D538">
        <v>300</v>
      </c>
      <c r="E538">
        <v>1351</v>
      </c>
      <c r="F538">
        <v>0.31</v>
      </c>
    </row>
    <row r="539" spans="1:6" hidden="1" x14ac:dyDescent="0.25">
      <c r="A539" t="s">
        <v>462</v>
      </c>
      <c r="B539" t="s">
        <v>58</v>
      </c>
      <c r="C539" t="s">
        <v>550</v>
      </c>
      <c r="D539">
        <v>500</v>
      </c>
      <c r="E539">
        <v>2090</v>
      </c>
      <c r="F539">
        <v>1.36</v>
      </c>
    </row>
    <row r="540" spans="1:6" hidden="1" x14ac:dyDescent="0.25">
      <c r="A540" t="s">
        <v>462</v>
      </c>
      <c r="B540" t="s">
        <v>58</v>
      </c>
      <c r="C540" t="s">
        <v>551</v>
      </c>
      <c r="D540">
        <v>700</v>
      </c>
      <c r="E540">
        <v>3153</v>
      </c>
      <c r="F540">
        <v>5.3</v>
      </c>
    </row>
    <row r="541" spans="1:6" hidden="1" x14ac:dyDescent="0.25">
      <c r="A541" t="s">
        <v>462</v>
      </c>
      <c r="B541" t="s">
        <v>58</v>
      </c>
      <c r="C541" t="s">
        <v>552</v>
      </c>
      <c r="D541">
        <v>800</v>
      </c>
      <c r="E541">
        <v>3534</v>
      </c>
      <c r="F541">
        <v>9.35</v>
      </c>
    </row>
    <row r="542" spans="1:6" hidden="1" x14ac:dyDescent="0.25">
      <c r="A542" t="s">
        <v>462</v>
      </c>
      <c r="B542" t="s">
        <v>58</v>
      </c>
      <c r="C542" t="s">
        <v>553</v>
      </c>
      <c r="D542">
        <v>1000</v>
      </c>
      <c r="E542">
        <v>4429</v>
      </c>
      <c r="F542">
        <v>22.91</v>
      </c>
    </row>
    <row r="543" spans="1:6" hidden="1" x14ac:dyDescent="0.25">
      <c r="A543" t="s">
        <v>462</v>
      </c>
      <c r="B543" t="s">
        <v>58</v>
      </c>
      <c r="C543" t="s">
        <v>554</v>
      </c>
      <c r="D543">
        <v>300</v>
      </c>
      <c r="E543">
        <v>1300</v>
      </c>
      <c r="F543">
        <v>0.3</v>
      </c>
    </row>
    <row r="544" spans="1:6" hidden="1" x14ac:dyDescent="0.25">
      <c r="A544" t="s">
        <v>462</v>
      </c>
      <c r="B544" t="s">
        <v>58</v>
      </c>
      <c r="C544" t="s">
        <v>555</v>
      </c>
      <c r="D544">
        <v>500</v>
      </c>
      <c r="E544">
        <v>2139</v>
      </c>
      <c r="F544">
        <v>1.71</v>
      </c>
    </row>
    <row r="545" spans="1:6" hidden="1" x14ac:dyDescent="0.25">
      <c r="A545" t="s">
        <v>462</v>
      </c>
      <c r="B545" t="s">
        <v>58</v>
      </c>
      <c r="C545" t="s">
        <v>556</v>
      </c>
      <c r="D545">
        <v>700</v>
      </c>
      <c r="E545">
        <v>3059</v>
      </c>
      <c r="F545">
        <v>5.22</v>
      </c>
    </row>
    <row r="546" spans="1:6" hidden="1" x14ac:dyDescent="0.25">
      <c r="A546" t="s">
        <v>462</v>
      </c>
      <c r="B546" t="s">
        <v>58</v>
      </c>
      <c r="C546" t="s">
        <v>557</v>
      </c>
      <c r="D546">
        <v>800</v>
      </c>
      <c r="E546">
        <v>3701</v>
      </c>
      <c r="F546">
        <v>9.3699999999999992</v>
      </c>
    </row>
    <row r="547" spans="1:6" hidden="1" x14ac:dyDescent="0.25">
      <c r="A547" t="s">
        <v>462</v>
      </c>
      <c r="B547" t="s">
        <v>58</v>
      </c>
      <c r="C547" t="s">
        <v>558</v>
      </c>
      <c r="D547">
        <v>1000</v>
      </c>
      <c r="E547">
        <v>4601</v>
      </c>
      <c r="F547">
        <v>20.21</v>
      </c>
    </row>
    <row r="548" spans="1:6" hidden="1" x14ac:dyDescent="0.25">
      <c r="A548" t="s">
        <v>462</v>
      </c>
      <c r="B548" t="s">
        <v>58</v>
      </c>
      <c r="C548" t="s">
        <v>559</v>
      </c>
      <c r="D548">
        <v>300</v>
      </c>
      <c r="E548">
        <v>1270</v>
      </c>
      <c r="F548">
        <v>0.33</v>
      </c>
    </row>
    <row r="549" spans="1:6" hidden="1" x14ac:dyDescent="0.25">
      <c r="A549" t="s">
        <v>462</v>
      </c>
      <c r="B549" t="s">
        <v>58</v>
      </c>
      <c r="C549" t="s">
        <v>560</v>
      </c>
      <c r="D549">
        <v>500</v>
      </c>
      <c r="E549">
        <v>2065</v>
      </c>
      <c r="F549">
        <v>1.72</v>
      </c>
    </row>
    <row r="550" spans="1:6" hidden="1" x14ac:dyDescent="0.25">
      <c r="A550" t="s">
        <v>462</v>
      </c>
      <c r="B550" t="s">
        <v>58</v>
      </c>
      <c r="C550" t="s">
        <v>561</v>
      </c>
      <c r="D550">
        <v>700</v>
      </c>
      <c r="E550">
        <v>3140</v>
      </c>
      <c r="F550">
        <v>5.45</v>
      </c>
    </row>
    <row r="551" spans="1:6" hidden="1" x14ac:dyDescent="0.25">
      <c r="A551" t="s">
        <v>462</v>
      </c>
      <c r="B551" t="s">
        <v>58</v>
      </c>
      <c r="C551" t="s">
        <v>562</v>
      </c>
      <c r="D551">
        <v>800</v>
      </c>
      <c r="E551">
        <v>3494</v>
      </c>
      <c r="F551">
        <v>8.64</v>
      </c>
    </row>
    <row r="552" spans="1:6" hidden="1" x14ac:dyDescent="0.25">
      <c r="A552" t="s">
        <v>462</v>
      </c>
      <c r="B552" t="s">
        <v>109</v>
      </c>
      <c r="C552" t="s">
        <v>563</v>
      </c>
      <c r="D552">
        <v>1000</v>
      </c>
      <c r="E552">
        <v>5386</v>
      </c>
      <c r="F552">
        <v>21.29</v>
      </c>
    </row>
    <row r="553" spans="1:6" hidden="1" x14ac:dyDescent="0.25">
      <c r="A553" t="s">
        <v>462</v>
      </c>
      <c r="B553" t="s">
        <v>109</v>
      </c>
      <c r="C553" t="s">
        <v>564</v>
      </c>
      <c r="D553">
        <v>300</v>
      </c>
      <c r="E553">
        <v>1559</v>
      </c>
      <c r="F553">
        <v>0.34</v>
      </c>
    </row>
    <row r="554" spans="1:6" hidden="1" x14ac:dyDescent="0.25">
      <c r="A554" t="s">
        <v>462</v>
      </c>
      <c r="B554" t="s">
        <v>109</v>
      </c>
      <c r="C554" t="s">
        <v>565</v>
      </c>
      <c r="D554">
        <v>500</v>
      </c>
      <c r="E554">
        <v>2875</v>
      </c>
      <c r="F554">
        <v>1.65</v>
      </c>
    </row>
    <row r="555" spans="1:6" hidden="1" x14ac:dyDescent="0.25">
      <c r="A555" t="s">
        <v>462</v>
      </c>
      <c r="B555" t="s">
        <v>109</v>
      </c>
      <c r="C555" t="s">
        <v>566</v>
      </c>
      <c r="D555">
        <v>700</v>
      </c>
      <c r="E555">
        <v>3594</v>
      </c>
      <c r="F555">
        <v>5.34</v>
      </c>
    </row>
    <row r="556" spans="1:6" hidden="1" x14ac:dyDescent="0.25">
      <c r="A556" t="s">
        <v>462</v>
      </c>
      <c r="B556" t="s">
        <v>109</v>
      </c>
      <c r="C556" t="s">
        <v>567</v>
      </c>
      <c r="D556">
        <v>800</v>
      </c>
      <c r="E556">
        <v>4275</v>
      </c>
      <c r="F556">
        <v>8.92</v>
      </c>
    </row>
    <row r="557" spans="1:6" hidden="1" x14ac:dyDescent="0.25">
      <c r="A557" t="s">
        <v>462</v>
      </c>
      <c r="B557" t="s">
        <v>109</v>
      </c>
      <c r="C557" t="s">
        <v>568</v>
      </c>
      <c r="D557">
        <v>1000</v>
      </c>
      <c r="E557">
        <v>5065</v>
      </c>
      <c r="F557">
        <v>22.03</v>
      </c>
    </row>
    <row r="558" spans="1:6" hidden="1" x14ac:dyDescent="0.25">
      <c r="A558" t="s">
        <v>462</v>
      </c>
      <c r="B558" t="s">
        <v>109</v>
      </c>
      <c r="C558" t="s">
        <v>569</v>
      </c>
      <c r="D558">
        <v>300</v>
      </c>
      <c r="E558">
        <v>1615</v>
      </c>
      <c r="F558">
        <v>0.25</v>
      </c>
    </row>
    <row r="559" spans="1:6" hidden="1" x14ac:dyDescent="0.25">
      <c r="A559" t="s">
        <v>462</v>
      </c>
      <c r="B559" t="s">
        <v>109</v>
      </c>
      <c r="C559" t="s">
        <v>570</v>
      </c>
      <c r="D559">
        <v>500</v>
      </c>
      <c r="E559">
        <v>2642</v>
      </c>
      <c r="F559">
        <v>1.79</v>
      </c>
    </row>
    <row r="560" spans="1:6" hidden="1" x14ac:dyDescent="0.25">
      <c r="A560" t="s">
        <v>462</v>
      </c>
      <c r="B560" t="s">
        <v>109</v>
      </c>
      <c r="C560" t="s">
        <v>571</v>
      </c>
      <c r="D560">
        <v>700</v>
      </c>
      <c r="E560">
        <v>3532</v>
      </c>
      <c r="F560">
        <v>4.29</v>
      </c>
    </row>
    <row r="561" spans="1:6" hidden="1" x14ac:dyDescent="0.25">
      <c r="A561" t="s">
        <v>462</v>
      </c>
      <c r="B561" t="s">
        <v>109</v>
      </c>
      <c r="C561" t="s">
        <v>572</v>
      </c>
      <c r="D561">
        <v>800</v>
      </c>
      <c r="E561">
        <v>3997</v>
      </c>
      <c r="F561">
        <v>9.11</v>
      </c>
    </row>
    <row r="562" spans="1:6" hidden="1" x14ac:dyDescent="0.25">
      <c r="A562" t="s">
        <v>462</v>
      </c>
      <c r="B562" t="s">
        <v>109</v>
      </c>
      <c r="C562" t="s">
        <v>573</v>
      </c>
      <c r="D562">
        <v>1000</v>
      </c>
      <c r="E562">
        <v>4874</v>
      </c>
      <c r="F562">
        <v>22.42</v>
      </c>
    </row>
    <row r="563" spans="1:6" hidden="1" x14ac:dyDescent="0.25">
      <c r="A563" t="s">
        <v>462</v>
      </c>
      <c r="B563" t="s">
        <v>109</v>
      </c>
      <c r="C563" t="s">
        <v>574</v>
      </c>
      <c r="D563">
        <v>300</v>
      </c>
      <c r="E563">
        <v>1609</v>
      </c>
      <c r="F563">
        <v>0.31</v>
      </c>
    </row>
    <row r="564" spans="1:6" hidden="1" x14ac:dyDescent="0.25">
      <c r="A564" t="s">
        <v>462</v>
      </c>
      <c r="B564" t="s">
        <v>109</v>
      </c>
      <c r="C564" t="s">
        <v>575</v>
      </c>
      <c r="D564">
        <v>500</v>
      </c>
      <c r="E564">
        <v>2717</v>
      </c>
      <c r="F564">
        <v>1.76</v>
      </c>
    </row>
    <row r="565" spans="1:6" hidden="1" x14ac:dyDescent="0.25">
      <c r="A565" t="s">
        <v>462</v>
      </c>
      <c r="B565" t="s">
        <v>109</v>
      </c>
      <c r="C565" t="s">
        <v>576</v>
      </c>
      <c r="D565">
        <v>700</v>
      </c>
      <c r="E565">
        <v>3585</v>
      </c>
      <c r="F565">
        <v>4.9800000000000004</v>
      </c>
    </row>
    <row r="566" spans="1:6" hidden="1" x14ac:dyDescent="0.25">
      <c r="A566" t="s">
        <v>462</v>
      </c>
      <c r="B566" t="s">
        <v>109</v>
      </c>
      <c r="C566" t="s">
        <v>577</v>
      </c>
      <c r="D566">
        <v>800</v>
      </c>
      <c r="E566">
        <v>4152</v>
      </c>
      <c r="F566">
        <v>9.15</v>
      </c>
    </row>
    <row r="567" spans="1:6" hidden="1" x14ac:dyDescent="0.25">
      <c r="A567" t="s">
        <v>462</v>
      </c>
      <c r="B567" t="s">
        <v>109</v>
      </c>
      <c r="C567" t="s">
        <v>578</v>
      </c>
      <c r="D567">
        <v>1000</v>
      </c>
      <c r="E567">
        <v>5360</v>
      </c>
      <c r="F567">
        <v>24.01</v>
      </c>
    </row>
    <row r="568" spans="1:6" hidden="1" x14ac:dyDescent="0.25">
      <c r="A568" t="s">
        <v>462</v>
      </c>
      <c r="B568" t="s">
        <v>109</v>
      </c>
      <c r="C568" t="s">
        <v>579</v>
      </c>
      <c r="D568">
        <v>300</v>
      </c>
      <c r="E568">
        <v>1540</v>
      </c>
      <c r="F568">
        <v>0.28999999999999998</v>
      </c>
    </row>
    <row r="569" spans="1:6" hidden="1" x14ac:dyDescent="0.25">
      <c r="A569" t="s">
        <v>462</v>
      </c>
      <c r="B569" t="s">
        <v>109</v>
      </c>
      <c r="C569" t="s">
        <v>580</v>
      </c>
      <c r="D569">
        <v>500</v>
      </c>
      <c r="E569">
        <v>2651</v>
      </c>
      <c r="F569">
        <v>1.81</v>
      </c>
    </row>
    <row r="570" spans="1:6" hidden="1" x14ac:dyDescent="0.25">
      <c r="A570" t="s">
        <v>462</v>
      </c>
      <c r="B570" t="s">
        <v>109</v>
      </c>
      <c r="C570" t="s">
        <v>581</v>
      </c>
      <c r="D570">
        <v>700</v>
      </c>
      <c r="E570">
        <v>3686</v>
      </c>
      <c r="F570">
        <v>4.7300000000000004</v>
      </c>
    </row>
    <row r="571" spans="1:6" hidden="1" x14ac:dyDescent="0.25">
      <c r="A571" t="s">
        <v>462</v>
      </c>
      <c r="B571" t="s">
        <v>109</v>
      </c>
      <c r="C571" t="s">
        <v>582</v>
      </c>
      <c r="D571">
        <v>800</v>
      </c>
      <c r="E571">
        <v>4089</v>
      </c>
      <c r="F571">
        <v>8.2899999999999991</v>
      </c>
    </row>
    <row r="572" spans="1:6" hidden="1" x14ac:dyDescent="0.25">
      <c r="A572" t="s">
        <v>462</v>
      </c>
      <c r="B572" t="s">
        <v>109</v>
      </c>
      <c r="C572" t="s">
        <v>583</v>
      </c>
      <c r="D572">
        <v>1000</v>
      </c>
      <c r="E572">
        <v>5135</v>
      </c>
      <c r="F572">
        <v>19.37</v>
      </c>
    </row>
    <row r="573" spans="1:6" hidden="1" x14ac:dyDescent="0.25">
      <c r="A573" t="s">
        <v>462</v>
      </c>
      <c r="B573" t="s">
        <v>109</v>
      </c>
      <c r="C573" t="s">
        <v>584</v>
      </c>
      <c r="D573">
        <v>300</v>
      </c>
      <c r="E573">
        <v>1802</v>
      </c>
      <c r="F573">
        <v>0.31</v>
      </c>
    </row>
    <row r="574" spans="1:6" hidden="1" x14ac:dyDescent="0.25">
      <c r="A574" t="s">
        <v>462</v>
      </c>
      <c r="B574" t="s">
        <v>109</v>
      </c>
      <c r="C574" t="s">
        <v>585</v>
      </c>
      <c r="D574">
        <v>500</v>
      </c>
      <c r="E574">
        <v>2484</v>
      </c>
      <c r="F574">
        <v>1.86</v>
      </c>
    </row>
    <row r="575" spans="1:6" hidden="1" x14ac:dyDescent="0.25">
      <c r="A575" t="s">
        <v>462</v>
      </c>
      <c r="B575" t="s">
        <v>109</v>
      </c>
      <c r="C575" t="s">
        <v>586</v>
      </c>
      <c r="D575">
        <v>700</v>
      </c>
      <c r="E575">
        <v>3407</v>
      </c>
      <c r="F575">
        <v>6.18</v>
      </c>
    </row>
    <row r="576" spans="1:6" hidden="1" x14ac:dyDescent="0.25">
      <c r="A576" t="s">
        <v>462</v>
      </c>
      <c r="B576" t="s">
        <v>109</v>
      </c>
      <c r="C576" t="s">
        <v>587</v>
      </c>
      <c r="D576">
        <v>800</v>
      </c>
      <c r="E576">
        <v>4038</v>
      </c>
      <c r="F576">
        <v>9.6300000000000008</v>
      </c>
    </row>
    <row r="577" spans="1:6" hidden="1" x14ac:dyDescent="0.25">
      <c r="A577" t="s">
        <v>462</v>
      </c>
      <c r="B577" t="s">
        <v>109</v>
      </c>
      <c r="C577" t="s">
        <v>588</v>
      </c>
      <c r="D577">
        <v>1000</v>
      </c>
      <c r="E577">
        <v>4755</v>
      </c>
      <c r="F577">
        <v>21.83</v>
      </c>
    </row>
    <row r="578" spans="1:6" hidden="1" x14ac:dyDescent="0.25">
      <c r="A578" t="s">
        <v>462</v>
      </c>
      <c r="B578" t="s">
        <v>109</v>
      </c>
      <c r="C578" t="s">
        <v>589</v>
      </c>
      <c r="D578">
        <v>300</v>
      </c>
      <c r="E578">
        <v>1547</v>
      </c>
      <c r="F578">
        <v>0.22</v>
      </c>
    </row>
    <row r="579" spans="1:6" hidden="1" x14ac:dyDescent="0.25">
      <c r="A579" t="s">
        <v>462</v>
      </c>
      <c r="B579" t="s">
        <v>109</v>
      </c>
      <c r="C579" t="s">
        <v>590</v>
      </c>
      <c r="D579">
        <v>500</v>
      </c>
      <c r="E579">
        <v>2594</v>
      </c>
      <c r="F579">
        <v>1.55</v>
      </c>
    </row>
    <row r="580" spans="1:6" hidden="1" x14ac:dyDescent="0.25">
      <c r="A580" t="s">
        <v>462</v>
      </c>
      <c r="B580" t="s">
        <v>109</v>
      </c>
      <c r="C580" t="s">
        <v>591</v>
      </c>
      <c r="D580">
        <v>700</v>
      </c>
      <c r="E580">
        <v>3544</v>
      </c>
      <c r="F580">
        <v>5.32</v>
      </c>
    </row>
    <row r="581" spans="1:6" hidden="1" x14ac:dyDescent="0.25">
      <c r="A581" t="s">
        <v>462</v>
      </c>
      <c r="B581" t="s">
        <v>109</v>
      </c>
      <c r="C581" t="s">
        <v>592</v>
      </c>
      <c r="D581">
        <v>800</v>
      </c>
      <c r="E581">
        <v>3933</v>
      </c>
      <c r="F581">
        <v>8.76</v>
      </c>
    </row>
    <row r="582" spans="1:6" hidden="1" x14ac:dyDescent="0.25">
      <c r="A582" t="s">
        <v>462</v>
      </c>
      <c r="B582" t="s">
        <v>109</v>
      </c>
      <c r="C582" t="s">
        <v>593</v>
      </c>
      <c r="D582">
        <v>1000</v>
      </c>
      <c r="E582">
        <v>5332</v>
      </c>
      <c r="F582">
        <v>22.89</v>
      </c>
    </row>
    <row r="583" spans="1:6" hidden="1" x14ac:dyDescent="0.25">
      <c r="A583" t="s">
        <v>462</v>
      </c>
      <c r="B583" t="s">
        <v>109</v>
      </c>
      <c r="C583" t="s">
        <v>594</v>
      </c>
      <c r="D583">
        <v>300</v>
      </c>
      <c r="E583">
        <v>1658</v>
      </c>
      <c r="F583">
        <v>0.27</v>
      </c>
    </row>
    <row r="584" spans="1:6" hidden="1" x14ac:dyDescent="0.25">
      <c r="A584" t="s">
        <v>462</v>
      </c>
      <c r="B584" t="s">
        <v>109</v>
      </c>
      <c r="C584" t="s">
        <v>595</v>
      </c>
      <c r="D584">
        <v>500</v>
      </c>
      <c r="E584">
        <v>2560</v>
      </c>
      <c r="F584">
        <v>1.52</v>
      </c>
    </row>
    <row r="585" spans="1:6" hidden="1" x14ac:dyDescent="0.25">
      <c r="A585" t="s">
        <v>462</v>
      </c>
      <c r="B585" t="s">
        <v>109</v>
      </c>
      <c r="C585" t="s">
        <v>596</v>
      </c>
      <c r="D585">
        <v>700</v>
      </c>
      <c r="E585">
        <v>3780</v>
      </c>
      <c r="F585">
        <v>5.37</v>
      </c>
    </row>
    <row r="586" spans="1:6" hidden="1" x14ac:dyDescent="0.25">
      <c r="A586" t="s">
        <v>462</v>
      </c>
      <c r="B586" t="s">
        <v>109</v>
      </c>
      <c r="C586" t="s">
        <v>597</v>
      </c>
      <c r="D586">
        <v>800</v>
      </c>
      <c r="E586">
        <v>4238</v>
      </c>
      <c r="F586">
        <v>7.65</v>
      </c>
    </row>
    <row r="587" spans="1:6" hidden="1" x14ac:dyDescent="0.25">
      <c r="A587" t="s">
        <v>462</v>
      </c>
      <c r="B587" t="s">
        <v>109</v>
      </c>
      <c r="C587" t="s">
        <v>598</v>
      </c>
      <c r="D587">
        <v>1000</v>
      </c>
      <c r="E587">
        <v>5258</v>
      </c>
      <c r="F587">
        <v>19.329999999999998</v>
      </c>
    </row>
    <row r="588" spans="1:6" hidden="1" x14ac:dyDescent="0.25">
      <c r="A588" t="s">
        <v>462</v>
      </c>
      <c r="B588" t="s">
        <v>109</v>
      </c>
      <c r="C588" t="s">
        <v>599</v>
      </c>
      <c r="D588">
        <v>300</v>
      </c>
      <c r="E588">
        <v>1581</v>
      </c>
      <c r="F588">
        <v>0.36</v>
      </c>
    </row>
    <row r="589" spans="1:6" hidden="1" x14ac:dyDescent="0.25">
      <c r="A589" t="s">
        <v>462</v>
      </c>
      <c r="B589" t="s">
        <v>109</v>
      </c>
      <c r="C589" t="s">
        <v>600</v>
      </c>
      <c r="D589">
        <v>500</v>
      </c>
      <c r="E589">
        <v>2737</v>
      </c>
      <c r="F589">
        <v>1.61</v>
      </c>
    </row>
    <row r="590" spans="1:6" hidden="1" x14ac:dyDescent="0.25">
      <c r="A590" t="s">
        <v>462</v>
      </c>
      <c r="B590" t="s">
        <v>109</v>
      </c>
      <c r="C590" t="s">
        <v>601</v>
      </c>
      <c r="D590">
        <v>700</v>
      </c>
      <c r="E590">
        <v>3618</v>
      </c>
      <c r="F590">
        <v>5.1100000000000003</v>
      </c>
    </row>
    <row r="591" spans="1:6" hidden="1" x14ac:dyDescent="0.25">
      <c r="A591" t="s">
        <v>462</v>
      </c>
      <c r="B591" t="s">
        <v>109</v>
      </c>
      <c r="C591" t="s">
        <v>602</v>
      </c>
      <c r="D591">
        <v>800</v>
      </c>
      <c r="E591">
        <v>4154</v>
      </c>
      <c r="F591">
        <v>9.49</v>
      </c>
    </row>
    <row r="592" spans="1:6" hidden="1" x14ac:dyDescent="0.25">
      <c r="A592" t="s">
        <v>462</v>
      </c>
      <c r="B592" t="s">
        <v>109</v>
      </c>
      <c r="C592" t="s">
        <v>603</v>
      </c>
      <c r="D592">
        <v>1000</v>
      </c>
      <c r="E592">
        <v>5374</v>
      </c>
      <c r="F592">
        <v>23.44</v>
      </c>
    </row>
    <row r="593" spans="1:6" hidden="1" x14ac:dyDescent="0.25">
      <c r="A593" t="s">
        <v>462</v>
      </c>
      <c r="B593" t="s">
        <v>109</v>
      </c>
      <c r="C593" t="s">
        <v>604</v>
      </c>
      <c r="D593">
        <v>300</v>
      </c>
      <c r="E593">
        <v>1511</v>
      </c>
      <c r="F593">
        <v>0.42</v>
      </c>
    </row>
    <row r="594" spans="1:6" hidden="1" x14ac:dyDescent="0.25">
      <c r="A594" t="s">
        <v>462</v>
      </c>
      <c r="B594" t="s">
        <v>109</v>
      </c>
      <c r="C594" t="s">
        <v>605</v>
      </c>
      <c r="D594">
        <v>500</v>
      </c>
      <c r="E594">
        <v>2707</v>
      </c>
      <c r="F594">
        <v>2</v>
      </c>
    </row>
    <row r="595" spans="1:6" hidden="1" x14ac:dyDescent="0.25">
      <c r="A595" t="s">
        <v>462</v>
      </c>
      <c r="B595" t="s">
        <v>109</v>
      </c>
      <c r="C595" t="s">
        <v>606</v>
      </c>
      <c r="D595">
        <v>700</v>
      </c>
      <c r="E595">
        <v>3879</v>
      </c>
      <c r="F595">
        <v>5.72</v>
      </c>
    </row>
    <row r="596" spans="1:6" hidden="1" x14ac:dyDescent="0.25">
      <c r="A596" t="s">
        <v>462</v>
      </c>
      <c r="B596" t="s">
        <v>109</v>
      </c>
      <c r="C596" t="s">
        <v>607</v>
      </c>
      <c r="D596">
        <v>800</v>
      </c>
      <c r="E596">
        <v>4366</v>
      </c>
      <c r="F596">
        <v>8.9700000000000006</v>
      </c>
    </row>
    <row r="597" spans="1:6" hidden="1" x14ac:dyDescent="0.25">
      <c r="A597" t="s">
        <v>462</v>
      </c>
      <c r="B597" t="s">
        <v>109</v>
      </c>
      <c r="C597" t="s">
        <v>608</v>
      </c>
      <c r="D597">
        <v>1000</v>
      </c>
      <c r="E597">
        <v>5146</v>
      </c>
      <c r="F597">
        <v>22.93</v>
      </c>
    </row>
    <row r="598" spans="1:6" hidden="1" x14ac:dyDescent="0.25">
      <c r="A598" t="s">
        <v>462</v>
      </c>
      <c r="B598" t="s">
        <v>109</v>
      </c>
      <c r="C598" t="s">
        <v>609</v>
      </c>
      <c r="D598">
        <v>300</v>
      </c>
      <c r="E598">
        <v>1575</v>
      </c>
      <c r="F598">
        <v>0.28999999999999998</v>
      </c>
    </row>
    <row r="599" spans="1:6" hidden="1" x14ac:dyDescent="0.25">
      <c r="A599" t="s">
        <v>462</v>
      </c>
      <c r="B599" t="s">
        <v>109</v>
      </c>
      <c r="C599" t="s">
        <v>610</v>
      </c>
      <c r="D599">
        <v>500</v>
      </c>
      <c r="E599">
        <v>2567</v>
      </c>
      <c r="F599">
        <v>1.45</v>
      </c>
    </row>
    <row r="600" spans="1:6" hidden="1" x14ac:dyDescent="0.25">
      <c r="A600" t="s">
        <v>462</v>
      </c>
      <c r="B600" t="s">
        <v>109</v>
      </c>
      <c r="C600" t="s">
        <v>611</v>
      </c>
      <c r="D600">
        <v>700</v>
      </c>
      <c r="E600">
        <v>3685</v>
      </c>
      <c r="F600">
        <v>4.97</v>
      </c>
    </row>
    <row r="601" spans="1:6" hidden="1" x14ac:dyDescent="0.25">
      <c r="A601" t="s">
        <v>462</v>
      </c>
      <c r="B601" t="s">
        <v>109</v>
      </c>
      <c r="C601" t="s">
        <v>612</v>
      </c>
      <c r="D601">
        <v>800</v>
      </c>
      <c r="E601">
        <v>4045</v>
      </c>
      <c r="F601">
        <v>8.6</v>
      </c>
    </row>
  </sheetData>
  <autoFilter ref="A1:F601" xr:uid="{09B41FE7-8433-400A-BFB0-02715306BF66}">
    <filterColumn colId="0">
      <filters>
        <filter val="scenario 3"/>
      </filters>
    </filterColumn>
    <filterColumn colId="1">
      <filters>
        <filter val="fully-correlated"/>
      </filters>
    </filterColumn>
    <filterColumn colId="3">
      <filters>
        <filter val="1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D9B4-F105-4924-AF2F-3C516C99533F}">
  <sheetPr filterMode="1"/>
  <dimension ref="A1:F601"/>
  <sheetViews>
    <sheetView workbookViewId="0">
      <selection activeCell="D17" sqref="D1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92.7109375" bestFit="1" customWidth="1"/>
    <col min="4" max="4" width="9.42578125" bestFit="1" customWidth="1"/>
    <col min="5" max="5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  <c r="C2" t="s">
        <v>8</v>
      </c>
      <c r="D2">
        <v>1000</v>
      </c>
      <c r="E2">
        <v>2602</v>
      </c>
      <c r="F2">
        <v>0.05</v>
      </c>
    </row>
    <row r="3" spans="1:6" x14ac:dyDescent="0.25">
      <c r="A3" t="s">
        <v>6</v>
      </c>
      <c r="B3" t="s">
        <v>7</v>
      </c>
      <c r="C3" t="s">
        <v>9</v>
      </c>
      <c r="D3">
        <v>300</v>
      </c>
      <c r="E3">
        <v>1271</v>
      </c>
      <c r="F3">
        <v>0.01</v>
      </c>
    </row>
    <row r="4" spans="1:6" hidden="1" x14ac:dyDescent="0.25">
      <c r="A4" t="s">
        <v>6</v>
      </c>
      <c r="B4" t="s">
        <v>7</v>
      </c>
      <c r="C4" t="s">
        <v>10</v>
      </c>
      <c r="D4">
        <v>500</v>
      </c>
      <c r="E4">
        <v>1767</v>
      </c>
      <c r="F4">
        <v>0.01</v>
      </c>
    </row>
    <row r="5" spans="1:6" hidden="1" x14ac:dyDescent="0.25">
      <c r="A5" t="s">
        <v>6</v>
      </c>
      <c r="B5" t="s">
        <v>7</v>
      </c>
      <c r="C5" t="s">
        <v>11</v>
      </c>
      <c r="D5">
        <v>700</v>
      </c>
      <c r="E5">
        <v>2175</v>
      </c>
      <c r="F5">
        <v>0.01</v>
      </c>
    </row>
    <row r="6" spans="1:6" hidden="1" x14ac:dyDescent="0.25">
      <c r="A6" t="s">
        <v>6</v>
      </c>
      <c r="B6" t="s">
        <v>7</v>
      </c>
      <c r="C6" t="s">
        <v>12</v>
      </c>
      <c r="D6">
        <v>800</v>
      </c>
      <c r="E6">
        <v>2342</v>
      </c>
      <c r="F6">
        <v>0.01</v>
      </c>
    </row>
    <row r="7" spans="1:6" hidden="1" x14ac:dyDescent="0.25">
      <c r="A7" t="s">
        <v>6</v>
      </c>
      <c r="B7" t="s">
        <v>7</v>
      </c>
      <c r="C7" t="s">
        <v>13</v>
      </c>
      <c r="D7">
        <v>1000</v>
      </c>
      <c r="E7">
        <v>2602</v>
      </c>
      <c r="F7">
        <v>0.01</v>
      </c>
    </row>
    <row r="8" spans="1:6" x14ac:dyDescent="0.25">
      <c r="A8" t="s">
        <v>6</v>
      </c>
      <c r="B8" t="s">
        <v>7</v>
      </c>
      <c r="C8" t="s">
        <v>14</v>
      </c>
      <c r="D8">
        <v>300</v>
      </c>
      <c r="E8">
        <v>1174</v>
      </c>
      <c r="F8">
        <v>0.01</v>
      </c>
    </row>
    <row r="9" spans="1:6" hidden="1" x14ac:dyDescent="0.25">
      <c r="A9" t="s">
        <v>6</v>
      </c>
      <c r="B9" t="s">
        <v>7</v>
      </c>
      <c r="C9" t="s">
        <v>15</v>
      </c>
      <c r="D9">
        <v>500</v>
      </c>
      <c r="E9">
        <v>1732</v>
      </c>
      <c r="F9">
        <v>0.01</v>
      </c>
    </row>
    <row r="10" spans="1:6" hidden="1" x14ac:dyDescent="0.25">
      <c r="A10" t="s">
        <v>6</v>
      </c>
      <c r="B10" t="s">
        <v>7</v>
      </c>
      <c r="C10" t="s">
        <v>16</v>
      </c>
      <c r="D10">
        <v>700</v>
      </c>
      <c r="E10">
        <v>2085</v>
      </c>
      <c r="F10">
        <v>0.01</v>
      </c>
    </row>
    <row r="11" spans="1:6" hidden="1" x14ac:dyDescent="0.25">
      <c r="A11" t="s">
        <v>6</v>
      </c>
      <c r="B11" t="s">
        <v>7</v>
      </c>
      <c r="C11" t="s">
        <v>17</v>
      </c>
      <c r="D11">
        <v>800</v>
      </c>
      <c r="E11">
        <v>2332</v>
      </c>
      <c r="F11">
        <v>0.01</v>
      </c>
    </row>
    <row r="12" spans="1:6" hidden="1" x14ac:dyDescent="0.25">
      <c r="A12" t="s">
        <v>6</v>
      </c>
      <c r="B12" t="s">
        <v>7</v>
      </c>
      <c r="C12" t="s">
        <v>18</v>
      </c>
      <c r="D12">
        <v>1000</v>
      </c>
      <c r="E12">
        <v>2672</v>
      </c>
      <c r="F12">
        <v>0.01</v>
      </c>
    </row>
    <row r="13" spans="1:6" x14ac:dyDescent="0.25">
      <c r="A13" t="s">
        <v>6</v>
      </c>
      <c r="B13" t="s">
        <v>7</v>
      </c>
      <c r="C13" t="s">
        <v>19</v>
      </c>
      <c r="D13">
        <v>300</v>
      </c>
      <c r="E13">
        <v>1258</v>
      </c>
      <c r="F13">
        <v>0</v>
      </c>
    </row>
    <row r="14" spans="1:6" hidden="1" x14ac:dyDescent="0.25">
      <c r="A14" t="s">
        <v>6</v>
      </c>
      <c r="B14" t="s">
        <v>7</v>
      </c>
      <c r="C14" t="s">
        <v>20</v>
      </c>
      <c r="D14">
        <v>500</v>
      </c>
      <c r="E14">
        <v>1771</v>
      </c>
      <c r="F14">
        <v>0.01</v>
      </c>
    </row>
    <row r="15" spans="1:6" hidden="1" x14ac:dyDescent="0.25">
      <c r="A15" t="s">
        <v>6</v>
      </c>
      <c r="B15" t="s">
        <v>7</v>
      </c>
      <c r="C15" t="s">
        <v>21</v>
      </c>
      <c r="D15">
        <v>700</v>
      </c>
      <c r="E15">
        <v>2282</v>
      </c>
      <c r="F15">
        <v>0.01</v>
      </c>
    </row>
    <row r="16" spans="1:6" hidden="1" x14ac:dyDescent="0.25">
      <c r="A16" t="s">
        <v>6</v>
      </c>
      <c r="B16" t="s">
        <v>7</v>
      </c>
      <c r="C16" t="s">
        <v>22</v>
      </c>
      <c r="D16">
        <v>800</v>
      </c>
      <c r="E16">
        <v>2402</v>
      </c>
      <c r="F16">
        <v>0.01</v>
      </c>
    </row>
    <row r="17" spans="1:6" hidden="1" x14ac:dyDescent="0.25">
      <c r="A17" t="s">
        <v>6</v>
      </c>
      <c r="B17" t="s">
        <v>7</v>
      </c>
      <c r="C17" t="s">
        <v>23</v>
      </c>
      <c r="D17">
        <v>1000</v>
      </c>
      <c r="E17">
        <v>2602</v>
      </c>
      <c r="F17">
        <v>0.01</v>
      </c>
    </row>
    <row r="18" spans="1:6" x14ac:dyDescent="0.25">
      <c r="A18" t="s">
        <v>6</v>
      </c>
      <c r="B18" t="s">
        <v>7</v>
      </c>
      <c r="C18" t="s">
        <v>24</v>
      </c>
      <c r="D18">
        <v>300</v>
      </c>
      <c r="E18">
        <v>1215</v>
      </c>
      <c r="F18">
        <v>0.01</v>
      </c>
    </row>
    <row r="19" spans="1:6" hidden="1" x14ac:dyDescent="0.25">
      <c r="A19" t="s">
        <v>6</v>
      </c>
      <c r="B19" t="s">
        <v>7</v>
      </c>
      <c r="C19" t="s">
        <v>25</v>
      </c>
      <c r="D19">
        <v>500</v>
      </c>
      <c r="E19">
        <v>1776</v>
      </c>
      <c r="F19">
        <v>0</v>
      </c>
    </row>
    <row r="20" spans="1:6" hidden="1" x14ac:dyDescent="0.25">
      <c r="A20" t="s">
        <v>6</v>
      </c>
      <c r="B20" t="s">
        <v>7</v>
      </c>
      <c r="C20" t="s">
        <v>26</v>
      </c>
      <c r="D20">
        <v>700</v>
      </c>
      <c r="E20">
        <v>2125</v>
      </c>
      <c r="F20">
        <v>0.01</v>
      </c>
    </row>
    <row r="21" spans="1:6" hidden="1" x14ac:dyDescent="0.25">
      <c r="A21" t="s">
        <v>6</v>
      </c>
      <c r="B21" t="s">
        <v>7</v>
      </c>
      <c r="C21" t="s">
        <v>27</v>
      </c>
      <c r="D21">
        <v>800</v>
      </c>
      <c r="E21">
        <v>2317</v>
      </c>
      <c r="F21">
        <v>0.01</v>
      </c>
    </row>
    <row r="22" spans="1:6" hidden="1" x14ac:dyDescent="0.25">
      <c r="A22" t="s">
        <v>6</v>
      </c>
      <c r="B22" t="s">
        <v>7</v>
      </c>
      <c r="C22" t="s">
        <v>28</v>
      </c>
      <c r="D22">
        <v>1000</v>
      </c>
      <c r="E22">
        <v>2612</v>
      </c>
      <c r="F22">
        <v>0.01</v>
      </c>
    </row>
    <row r="23" spans="1:6" x14ac:dyDescent="0.25">
      <c r="A23" t="s">
        <v>6</v>
      </c>
      <c r="B23" t="s">
        <v>7</v>
      </c>
      <c r="C23" t="s">
        <v>29</v>
      </c>
      <c r="D23">
        <v>300</v>
      </c>
      <c r="E23">
        <v>1201</v>
      </c>
      <c r="F23">
        <v>0.01</v>
      </c>
    </row>
    <row r="24" spans="1:6" hidden="1" x14ac:dyDescent="0.25">
      <c r="A24" t="s">
        <v>6</v>
      </c>
      <c r="B24" t="s">
        <v>7</v>
      </c>
      <c r="C24" t="s">
        <v>30</v>
      </c>
      <c r="D24">
        <v>500</v>
      </c>
      <c r="E24">
        <v>1756</v>
      </c>
      <c r="F24">
        <v>0.01</v>
      </c>
    </row>
    <row r="25" spans="1:6" hidden="1" x14ac:dyDescent="0.25">
      <c r="A25" t="s">
        <v>6</v>
      </c>
      <c r="B25" t="s">
        <v>7</v>
      </c>
      <c r="C25" t="s">
        <v>31</v>
      </c>
      <c r="D25">
        <v>700</v>
      </c>
      <c r="E25">
        <v>2085</v>
      </c>
      <c r="F25">
        <v>0.01</v>
      </c>
    </row>
    <row r="26" spans="1:6" hidden="1" x14ac:dyDescent="0.25">
      <c r="A26" t="s">
        <v>6</v>
      </c>
      <c r="B26" t="s">
        <v>7</v>
      </c>
      <c r="C26" t="s">
        <v>32</v>
      </c>
      <c r="D26">
        <v>800</v>
      </c>
      <c r="E26">
        <v>2392</v>
      </c>
      <c r="F26">
        <v>0.01</v>
      </c>
    </row>
    <row r="27" spans="1:6" hidden="1" x14ac:dyDescent="0.25">
      <c r="A27" t="s">
        <v>6</v>
      </c>
      <c r="B27" t="s">
        <v>7</v>
      </c>
      <c r="C27" t="s">
        <v>33</v>
      </c>
      <c r="D27">
        <v>1000</v>
      </c>
      <c r="E27">
        <v>2542</v>
      </c>
      <c r="F27">
        <v>0.01</v>
      </c>
    </row>
    <row r="28" spans="1:6" x14ac:dyDescent="0.25">
      <c r="A28" t="s">
        <v>6</v>
      </c>
      <c r="B28" t="s">
        <v>7</v>
      </c>
      <c r="C28" t="s">
        <v>34</v>
      </c>
      <c r="D28">
        <v>300</v>
      </c>
      <c r="E28">
        <v>1199</v>
      </c>
      <c r="F28">
        <v>0.01</v>
      </c>
    </row>
    <row r="29" spans="1:6" hidden="1" x14ac:dyDescent="0.25">
      <c r="A29" t="s">
        <v>6</v>
      </c>
      <c r="B29" t="s">
        <v>7</v>
      </c>
      <c r="C29" t="s">
        <v>35</v>
      </c>
      <c r="D29">
        <v>500</v>
      </c>
      <c r="E29">
        <v>1778</v>
      </c>
      <c r="F29">
        <v>0.01</v>
      </c>
    </row>
    <row r="30" spans="1:6" hidden="1" x14ac:dyDescent="0.25">
      <c r="A30" t="s">
        <v>6</v>
      </c>
      <c r="B30" t="s">
        <v>7</v>
      </c>
      <c r="C30" t="s">
        <v>36</v>
      </c>
      <c r="D30">
        <v>700</v>
      </c>
      <c r="E30">
        <v>2065</v>
      </c>
      <c r="F30">
        <v>0.01</v>
      </c>
    </row>
    <row r="31" spans="1:6" hidden="1" x14ac:dyDescent="0.25">
      <c r="A31" t="s">
        <v>6</v>
      </c>
      <c r="B31" t="s">
        <v>7</v>
      </c>
      <c r="C31" t="s">
        <v>37</v>
      </c>
      <c r="D31">
        <v>800</v>
      </c>
      <c r="E31">
        <v>2312</v>
      </c>
      <c r="F31">
        <v>0.01</v>
      </c>
    </row>
    <row r="32" spans="1:6" hidden="1" x14ac:dyDescent="0.25">
      <c r="A32" t="s">
        <v>6</v>
      </c>
      <c r="B32" t="s">
        <v>7</v>
      </c>
      <c r="C32" t="s">
        <v>38</v>
      </c>
      <c r="D32">
        <v>1000</v>
      </c>
      <c r="E32">
        <v>2622</v>
      </c>
      <c r="F32">
        <v>0.01</v>
      </c>
    </row>
    <row r="33" spans="1:6" x14ac:dyDescent="0.25">
      <c r="A33" t="s">
        <v>6</v>
      </c>
      <c r="B33" t="s">
        <v>7</v>
      </c>
      <c r="C33" t="s">
        <v>39</v>
      </c>
      <c r="D33">
        <v>300</v>
      </c>
      <c r="E33">
        <v>1208</v>
      </c>
      <c r="F33">
        <v>0.01</v>
      </c>
    </row>
    <row r="34" spans="1:6" hidden="1" x14ac:dyDescent="0.25">
      <c r="A34" t="s">
        <v>6</v>
      </c>
      <c r="B34" t="s">
        <v>7</v>
      </c>
      <c r="C34" t="s">
        <v>40</v>
      </c>
      <c r="D34">
        <v>500</v>
      </c>
      <c r="E34">
        <v>1819</v>
      </c>
      <c r="F34">
        <v>0.01</v>
      </c>
    </row>
    <row r="35" spans="1:6" hidden="1" x14ac:dyDescent="0.25">
      <c r="A35" t="s">
        <v>6</v>
      </c>
      <c r="B35" t="s">
        <v>7</v>
      </c>
      <c r="C35" t="s">
        <v>41</v>
      </c>
      <c r="D35">
        <v>700</v>
      </c>
      <c r="E35">
        <v>2180</v>
      </c>
      <c r="F35">
        <v>0.01</v>
      </c>
    </row>
    <row r="36" spans="1:6" hidden="1" x14ac:dyDescent="0.25">
      <c r="A36" t="s">
        <v>6</v>
      </c>
      <c r="B36" t="s">
        <v>7</v>
      </c>
      <c r="C36" t="s">
        <v>42</v>
      </c>
      <c r="D36">
        <v>800</v>
      </c>
      <c r="E36">
        <v>2272</v>
      </c>
      <c r="F36">
        <v>0.01</v>
      </c>
    </row>
    <row r="37" spans="1:6" hidden="1" x14ac:dyDescent="0.25">
      <c r="A37" t="s">
        <v>6</v>
      </c>
      <c r="B37" t="s">
        <v>7</v>
      </c>
      <c r="C37" t="s">
        <v>43</v>
      </c>
      <c r="D37">
        <v>1000</v>
      </c>
      <c r="E37">
        <v>2672</v>
      </c>
      <c r="F37">
        <v>0.01</v>
      </c>
    </row>
    <row r="38" spans="1:6" x14ac:dyDescent="0.25">
      <c r="A38" t="s">
        <v>6</v>
      </c>
      <c r="B38" t="s">
        <v>7</v>
      </c>
      <c r="C38" t="s">
        <v>44</v>
      </c>
      <c r="D38">
        <v>300</v>
      </c>
      <c r="E38">
        <v>1235</v>
      </c>
      <c r="F38">
        <v>0.01</v>
      </c>
    </row>
    <row r="39" spans="1:6" hidden="1" x14ac:dyDescent="0.25">
      <c r="A39" t="s">
        <v>6</v>
      </c>
      <c r="B39" t="s">
        <v>7</v>
      </c>
      <c r="C39" t="s">
        <v>45</v>
      </c>
      <c r="D39">
        <v>500</v>
      </c>
      <c r="E39">
        <v>1779</v>
      </c>
      <c r="F39">
        <v>0.01</v>
      </c>
    </row>
    <row r="40" spans="1:6" hidden="1" x14ac:dyDescent="0.25">
      <c r="A40" t="s">
        <v>6</v>
      </c>
      <c r="B40" t="s">
        <v>7</v>
      </c>
      <c r="C40" t="s">
        <v>46</v>
      </c>
      <c r="D40">
        <v>700</v>
      </c>
      <c r="E40">
        <v>2145</v>
      </c>
      <c r="F40">
        <v>0.01</v>
      </c>
    </row>
    <row r="41" spans="1:6" hidden="1" x14ac:dyDescent="0.25">
      <c r="A41" t="s">
        <v>6</v>
      </c>
      <c r="B41" t="s">
        <v>7</v>
      </c>
      <c r="C41" t="s">
        <v>47</v>
      </c>
      <c r="D41">
        <v>800</v>
      </c>
      <c r="E41">
        <v>2253</v>
      </c>
      <c r="F41">
        <v>0.01</v>
      </c>
    </row>
    <row r="42" spans="1:6" hidden="1" x14ac:dyDescent="0.25">
      <c r="A42" t="s">
        <v>6</v>
      </c>
      <c r="B42" t="s">
        <v>7</v>
      </c>
      <c r="C42" t="s">
        <v>48</v>
      </c>
      <c r="D42">
        <v>1000</v>
      </c>
      <c r="E42">
        <v>2642</v>
      </c>
      <c r="F42">
        <v>0.01</v>
      </c>
    </row>
    <row r="43" spans="1:6" x14ac:dyDescent="0.25">
      <c r="A43" t="s">
        <v>6</v>
      </c>
      <c r="B43" t="s">
        <v>7</v>
      </c>
      <c r="C43" t="s">
        <v>49</v>
      </c>
      <c r="D43">
        <v>300</v>
      </c>
      <c r="E43">
        <v>1242</v>
      </c>
      <c r="F43">
        <v>0.01</v>
      </c>
    </row>
    <row r="44" spans="1:6" hidden="1" x14ac:dyDescent="0.25">
      <c r="A44" t="s">
        <v>6</v>
      </c>
      <c r="B44" t="s">
        <v>7</v>
      </c>
      <c r="C44" t="s">
        <v>50</v>
      </c>
      <c r="D44">
        <v>500</v>
      </c>
      <c r="E44">
        <v>1775</v>
      </c>
      <c r="F44">
        <v>0.01</v>
      </c>
    </row>
    <row r="45" spans="1:6" hidden="1" x14ac:dyDescent="0.25">
      <c r="A45" t="s">
        <v>6</v>
      </c>
      <c r="B45" t="s">
        <v>7</v>
      </c>
      <c r="C45" t="s">
        <v>51</v>
      </c>
      <c r="D45">
        <v>700</v>
      </c>
      <c r="E45">
        <v>2145</v>
      </c>
      <c r="F45">
        <v>0.01</v>
      </c>
    </row>
    <row r="46" spans="1:6" hidden="1" x14ac:dyDescent="0.25">
      <c r="A46" t="s">
        <v>6</v>
      </c>
      <c r="B46" t="s">
        <v>7</v>
      </c>
      <c r="C46" t="s">
        <v>52</v>
      </c>
      <c r="D46">
        <v>800</v>
      </c>
      <c r="E46">
        <v>2212</v>
      </c>
      <c r="F46">
        <v>0.01</v>
      </c>
    </row>
    <row r="47" spans="1:6" hidden="1" x14ac:dyDescent="0.25">
      <c r="A47" t="s">
        <v>6</v>
      </c>
      <c r="B47" t="s">
        <v>7</v>
      </c>
      <c r="C47" t="s">
        <v>53</v>
      </c>
      <c r="D47">
        <v>1000</v>
      </c>
      <c r="E47">
        <v>2562</v>
      </c>
      <c r="F47">
        <v>0.01</v>
      </c>
    </row>
    <row r="48" spans="1:6" x14ac:dyDescent="0.25">
      <c r="A48" t="s">
        <v>6</v>
      </c>
      <c r="B48" t="s">
        <v>7</v>
      </c>
      <c r="C48" t="s">
        <v>54</v>
      </c>
      <c r="D48">
        <v>300</v>
      </c>
      <c r="E48">
        <v>1171</v>
      </c>
      <c r="F48">
        <v>0.01</v>
      </c>
    </row>
    <row r="49" spans="1:6" hidden="1" x14ac:dyDescent="0.25">
      <c r="A49" t="s">
        <v>6</v>
      </c>
      <c r="B49" t="s">
        <v>7</v>
      </c>
      <c r="C49" t="s">
        <v>55</v>
      </c>
      <c r="D49">
        <v>500</v>
      </c>
      <c r="E49">
        <v>1768</v>
      </c>
      <c r="F49">
        <v>0.01</v>
      </c>
    </row>
    <row r="50" spans="1:6" hidden="1" x14ac:dyDescent="0.25">
      <c r="A50" t="s">
        <v>6</v>
      </c>
      <c r="B50" t="s">
        <v>7</v>
      </c>
      <c r="C50" t="s">
        <v>56</v>
      </c>
      <c r="D50">
        <v>700</v>
      </c>
      <c r="E50">
        <v>2165</v>
      </c>
      <c r="F50">
        <v>0.01</v>
      </c>
    </row>
    <row r="51" spans="1:6" hidden="1" x14ac:dyDescent="0.25">
      <c r="A51" t="s">
        <v>6</v>
      </c>
      <c r="B51" t="s">
        <v>7</v>
      </c>
      <c r="C51" t="s">
        <v>57</v>
      </c>
      <c r="D51">
        <v>800</v>
      </c>
      <c r="E51">
        <v>2362</v>
      </c>
      <c r="F51">
        <v>0.01</v>
      </c>
    </row>
    <row r="52" spans="1:6" hidden="1" x14ac:dyDescent="0.25">
      <c r="A52" t="s">
        <v>6</v>
      </c>
      <c r="B52" t="s">
        <v>58</v>
      </c>
      <c r="C52" t="s">
        <v>59</v>
      </c>
      <c r="D52">
        <v>1000</v>
      </c>
      <c r="E52">
        <v>2654</v>
      </c>
      <c r="F52">
        <v>0.01</v>
      </c>
    </row>
    <row r="53" spans="1:6" hidden="1" x14ac:dyDescent="0.25">
      <c r="A53" t="s">
        <v>6</v>
      </c>
      <c r="B53" t="s">
        <v>58</v>
      </c>
      <c r="C53" t="s">
        <v>60</v>
      </c>
      <c r="D53">
        <v>300</v>
      </c>
      <c r="E53">
        <v>1186</v>
      </c>
      <c r="F53">
        <v>0</v>
      </c>
    </row>
    <row r="54" spans="1:6" hidden="1" x14ac:dyDescent="0.25">
      <c r="A54" t="s">
        <v>6</v>
      </c>
      <c r="B54" t="s">
        <v>58</v>
      </c>
      <c r="C54" t="s">
        <v>61</v>
      </c>
      <c r="D54">
        <v>500</v>
      </c>
      <c r="E54">
        <v>1682</v>
      </c>
      <c r="F54">
        <v>0.01</v>
      </c>
    </row>
    <row r="55" spans="1:6" hidden="1" x14ac:dyDescent="0.25">
      <c r="A55" t="s">
        <v>6</v>
      </c>
      <c r="B55" t="s">
        <v>58</v>
      </c>
      <c r="C55" t="s">
        <v>62</v>
      </c>
      <c r="D55">
        <v>700</v>
      </c>
      <c r="E55">
        <v>2065</v>
      </c>
      <c r="F55">
        <v>0.01</v>
      </c>
    </row>
    <row r="56" spans="1:6" hidden="1" x14ac:dyDescent="0.25">
      <c r="A56" t="s">
        <v>6</v>
      </c>
      <c r="B56" t="s">
        <v>58</v>
      </c>
      <c r="C56" t="s">
        <v>63</v>
      </c>
      <c r="D56">
        <v>800</v>
      </c>
      <c r="E56">
        <v>2311</v>
      </c>
      <c r="F56">
        <v>0.01</v>
      </c>
    </row>
    <row r="57" spans="1:6" hidden="1" x14ac:dyDescent="0.25">
      <c r="A57" t="s">
        <v>6</v>
      </c>
      <c r="B57" t="s">
        <v>58</v>
      </c>
      <c r="C57" t="s">
        <v>64</v>
      </c>
      <c r="D57">
        <v>1000</v>
      </c>
      <c r="E57">
        <v>2574</v>
      </c>
      <c r="F57">
        <v>0.01</v>
      </c>
    </row>
    <row r="58" spans="1:6" hidden="1" x14ac:dyDescent="0.25">
      <c r="A58" t="s">
        <v>6</v>
      </c>
      <c r="B58" t="s">
        <v>58</v>
      </c>
      <c r="C58" t="s">
        <v>65</v>
      </c>
      <c r="D58">
        <v>300</v>
      </c>
      <c r="E58">
        <v>1186</v>
      </c>
      <c r="F58">
        <v>0</v>
      </c>
    </row>
    <row r="59" spans="1:6" hidden="1" x14ac:dyDescent="0.25">
      <c r="A59" t="s">
        <v>6</v>
      </c>
      <c r="B59" t="s">
        <v>58</v>
      </c>
      <c r="C59" t="s">
        <v>66</v>
      </c>
      <c r="D59">
        <v>500</v>
      </c>
      <c r="E59">
        <v>1756</v>
      </c>
      <c r="F59">
        <v>0.01</v>
      </c>
    </row>
    <row r="60" spans="1:6" hidden="1" x14ac:dyDescent="0.25">
      <c r="A60" t="s">
        <v>6</v>
      </c>
      <c r="B60" t="s">
        <v>58</v>
      </c>
      <c r="C60" t="s">
        <v>67</v>
      </c>
      <c r="D60">
        <v>700</v>
      </c>
      <c r="E60">
        <v>2147</v>
      </c>
      <c r="F60">
        <v>0.01</v>
      </c>
    </row>
    <row r="61" spans="1:6" hidden="1" x14ac:dyDescent="0.25">
      <c r="A61" t="s">
        <v>6</v>
      </c>
      <c r="B61" t="s">
        <v>58</v>
      </c>
      <c r="C61" t="s">
        <v>68</v>
      </c>
      <c r="D61">
        <v>800</v>
      </c>
      <c r="E61">
        <v>2306</v>
      </c>
      <c r="F61">
        <v>0.01</v>
      </c>
    </row>
    <row r="62" spans="1:6" hidden="1" x14ac:dyDescent="0.25">
      <c r="A62" t="s">
        <v>6</v>
      </c>
      <c r="B62" t="s">
        <v>58</v>
      </c>
      <c r="C62" t="s">
        <v>69</v>
      </c>
      <c r="D62">
        <v>1000</v>
      </c>
      <c r="E62">
        <v>2544</v>
      </c>
      <c r="F62">
        <v>0.01</v>
      </c>
    </row>
    <row r="63" spans="1:6" hidden="1" x14ac:dyDescent="0.25">
      <c r="A63" t="s">
        <v>6</v>
      </c>
      <c r="B63" t="s">
        <v>58</v>
      </c>
      <c r="C63" t="s">
        <v>70</v>
      </c>
      <c r="D63">
        <v>300</v>
      </c>
      <c r="E63">
        <v>1238</v>
      </c>
      <c r="F63">
        <v>0.01</v>
      </c>
    </row>
    <row r="64" spans="1:6" hidden="1" x14ac:dyDescent="0.25">
      <c r="A64" t="s">
        <v>6</v>
      </c>
      <c r="B64" t="s">
        <v>58</v>
      </c>
      <c r="C64" t="s">
        <v>71</v>
      </c>
      <c r="D64">
        <v>500</v>
      </c>
      <c r="E64">
        <v>1772</v>
      </c>
      <c r="F64">
        <v>0.01</v>
      </c>
    </row>
    <row r="65" spans="1:6" hidden="1" x14ac:dyDescent="0.25">
      <c r="A65" t="s">
        <v>6</v>
      </c>
      <c r="B65" t="s">
        <v>58</v>
      </c>
      <c r="C65" t="s">
        <v>72</v>
      </c>
      <c r="D65">
        <v>700</v>
      </c>
      <c r="E65">
        <v>2065</v>
      </c>
      <c r="F65">
        <v>0.01</v>
      </c>
    </row>
    <row r="66" spans="1:6" hidden="1" x14ac:dyDescent="0.25">
      <c r="A66" t="s">
        <v>6</v>
      </c>
      <c r="B66" t="s">
        <v>58</v>
      </c>
      <c r="C66" t="s">
        <v>73</v>
      </c>
      <c r="D66">
        <v>800</v>
      </c>
      <c r="E66">
        <v>2176</v>
      </c>
      <c r="F66">
        <v>0.01</v>
      </c>
    </row>
    <row r="67" spans="1:6" hidden="1" x14ac:dyDescent="0.25">
      <c r="A67" t="s">
        <v>6</v>
      </c>
      <c r="B67" t="s">
        <v>58</v>
      </c>
      <c r="C67" t="s">
        <v>74</v>
      </c>
      <c r="D67">
        <v>1000</v>
      </c>
      <c r="E67">
        <v>2604</v>
      </c>
      <c r="F67">
        <v>0.01</v>
      </c>
    </row>
    <row r="68" spans="1:6" hidden="1" x14ac:dyDescent="0.25">
      <c r="A68" t="s">
        <v>6</v>
      </c>
      <c r="B68" t="s">
        <v>58</v>
      </c>
      <c r="C68" t="s">
        <v>75</v>
      </c>
      <c r="D68">
        <v>300</v>
      </c>
      <c r="E68">
        <v>1227</v>
      </c>
      <c r="F68">
        <v>0.01</v>
      </c>
    </row>
    <row r="69" spans="1:6" hidden="1" x14ac:dyDescent="0.25">
      <c r="A69" t="s">
        <v>6</v>
      </c>
      <c r="B69" t="s">
        <v>58</v>
      </c>
      <c r="C69" t="s">
        <v>76</v>
      </c>
      <c r="D69">
        <v>500</v>
      </c>
      <c r="E69">
        <v>1793</v>
      </c>
      <c r="F69">
        <v>0.01</v>
      </c>
    </row>
    <row r="70" spans="1:6" hidden="1" x14ac:dyDescent="0.25">
      <c r="A70" t="s">
        <v>6</v>
      </c>
      <c r="B70" t="s">
        <v>58</v>
      </c>
      <c r="C70" t="s">
        <v>77</v>
      </c>
      <c r="D70">
        <v>700</v>
      </c>
      <c r="E70">
        <v>2095</v>
      </c>
      <c r="F70">
        <v>0.01</v>
      </c>
    </row>
    <row r="71" spans="1:6" hidden="1" x14ac:dyDescent="0.25">
      <c r="A71" t="s">
        <v>6</v>
      </c>
      <c r="B71" t="s">
        <v>58</v>
      </c>
      <c r="C71" t="s">
        <v>78</v>
      </c>
      <c r="D71">
        <v>800</v>
      </c>
      <c r="E71">
        <v>2296</v>
      </c>
      <c r="F71">
        <v>0.01</v>
      </c>
    </row>
    <row r="72" spans="1:6" hidden="1" x14ac:dyDescent="0.25">
      <c r="A72" t="s">
        <v>6</v>
      </c>
      <c r="B72" t="s">
        <v>58</v>
      </c>
      <c r="C72" t="s">
        <v>79</v>
      </c>
      <c r="D72">
        <v>1000</v>
      </c>
      <c r="E72">
        <v>2825</v>
      </c>
      <c r="F72">
        <v>0.01</v>
      </c>
    </row>
    <row r="73" spans="1:6" hidden="1" x14ac:dyDescent="0.25">
      <c r="A73" t="s">
        <v>6</v>
      </c>
      <c r="B73" t="s">
        <v>58</v>
      </c>
      <c r="C73" t="s">
        <v>80</v>
      </c>
      <c r="D73">
        <v>300</v>
      </c>
      <c r="E73">
        <v>1163</v>
      </c>
      <c r="F73">
        <v>0.01</v>
      </c>
    </row>
    <row r="74" spans="1:6" hidden="1" x14ac:dyDescent="0.25">
      <c r="A74" t="s">
        <v>6</v>
      </c>
      <c r="B74" t="s">
        <v>58</v>
      </c>
      <c r="C74" t="s">
        <v>81</v>
      </c>
      <c r="D74">
        <v>500</v>
      </c>
      <c r="E74">
        <v>1833</v>
      </c>
      <c r="F74">
        <v>0.01</v>
      </c>
    </row>
    <row r="75" spans="1:6" hidden="1" x14ac:dyDescent="0.25">
      <c r="A75" t="s">
        <v>6</v>
      </c>
      <c r="B75" t="s">
        <v>58</v>
      </c>
      <c r="C75" t="s">
        <v>82</v>
      </c>
      <c r="D75">
        <v>700</v>
      </c>
      <c r="E75">
        <v>2055</v>
      </c>
      <c r="F75">
        <v>0.01</v>
      </c>
    </row>
    <row r="76" spans="1:6" hidden="1" x14ac:dyDescent="0.25">
      <c r="A76" t="s">
        <v>6</v>
      </c>
      <c r="B76" t="s">
        <v>58</v>
      </c>
      <c r="C76" t="s">
        <v>83</v>
      </c>
      <c r="D76">
        <v>800</v>
      </c>
      <c r="E76">
        <v>2216</v>
      </c>
      <c r="F76">
        <v>0.01</v>
      </c>
    </row>
    <row r="77" spans="1:6" hidden="1" x14ac:dyDescent="0.25">
      <c r="A77" t="s">
        <v>6</v>
      </c>
      <c r="B77" t="s">
        <v>58</v>
      </c>
      <c r="C77" t="s">
        <v>84</v>
      </c>
      <c r="D77">
        <v>1000</v>
      </c>
      <c r="E77">
        <v>2684</v>
      </c>
      <c r="F77">
        <v>0.01</v>
      </c>
    </row>
    <row r="78" spans="1:6" hidden="1" x14ac:dyDescent="0.25">
      <c r="A78" t="s">
        <v>6</v>
      </c>
      <c r="B78" t="s">
        <v>58</v>
      </c>
      <c r="C78" t="s">
        <v>85</v>
      </c>
      <c r="D78">
        <v>300</v>
      </c>
      <c r="E78">
        <v>1218</v>
      </c>
      <c r="F78">
        <v>0.01</v>
      </c>
    </row>
    <row r="79" spans="1:6" hidden="1" x14ac:dyDescent="0.25">
      <c r="A79" t="s">
        <v>6</v>
      </c>
      <c r="B79" t="s">
        <v>58</v>
      </c>
      <c r="C79" t="s">
        <v>86</v>
      </c>
      <c r="D79">
        <v>500</v>
      </c>
      <c r="E79">
        <v>1694</v>
      </c>
      <c r="F79">
        <v>0.01</v>
      </c>
    </row>
    <row r="80" spans="1:6" hidden="1" x14ac:dyDescent="0.25">
      <c r="A80" t="s">
        <v>6</v>
      </c>
      <c r="B80" t="s">
        <v>58</v>
      </c>
      <c r="C80" t="s">
        <v>87</v>
      </c>
      <c r="D80">
        <v>700</v>
      </c>
      <c r="E80">
        <v>2145</v>
      </c>
      <c r="F80">
        <v>0.01</v>
      </c>
    </row>
    <row r="81" spans="1:6" hidden="1" x14ac:dyDescent="0.25">
      <c r="A81" t="s">
        <v>6</v>
      </c>
      <c r="B81" t="s">
        <v>58</v>
      </c>
      <c r="C81" t="s">
        <v>88</v>
      </c>
      <c r="D81">
        <v>800</v>
      </c>
      <c r="E81">
        <v>2226</v>
      </c>
      <c r="F81">
        <v>0.01</v>
      </c>
    </row>
    <row r="82" spans="1:6" hidden="1" x14ac:dyDescent="0.25">
      <c r="A82" t="s">
        <v>6</v>
      </c>
      <c r="B82" t="s">
        <v>58</v>
      </c>
      <c r="C82" t="s">
        <v>89</v>
      </c>
      <c r="D82">
        <v>1000</v>
      </c>
      <c r="E82">
        <v>2644</v>
      </c>
      <c r="F82">
        <v>0.01</v>
      </c>
    </row>
    <row r="83" spans="1:6" hidden="1" x14ac:dyDescent="0.25">
      <c r="A83" t="s">
        <v>6</v>
      </c>
      <c r="B83" t="s">
        <v>58</v>
      </c>
      <c r="C83" t="s">
        <v>90</v>
      </c>
      <c r="D83">
        <v>300</v>
      </c>
      <c r="E83">
        <v>1213</v>
      </c>
      <c r="F83">
        <v>0</v>
      </c>
    </row>
    <row r="84" spans="1:6" hidden="1" x14ac:dyDescent="0.25">
      <c r="A84" t="s">
        <v>6</v>
      </c>
      <c r="B84" t="s">
        <v>58</v>
      </c>
      <c r="C84" t="s">
        <v>91</v>
      </c>
      <c r="D84">
        <v>500</v>
      </c>
      <c r="E84">
        <v>1705</v>
      </c>
      <c r="F84">
        <v>0.01</v>
      </c>
    </row>
    <row r="85" spans="1:6" hidden="1" x14ac:dyDescent="0.25">
      <c r="A85" t="s">
        <v>6</v>
      </c>
      <c r="B85" t="s">
        <v>58</v>
      </c>
      <c r="C85" t="s">
        <v>92</v>
      </c>
      <c r="D85">
        <v>700</v>
      </c>
      <c r="E85">
        <v>2115</v>
      </c>
      <c r="F85">
        <v>0.01</v>
      </c>
    </row>
    <row r="86" spans="1:6" hidden="1" x14ac:dyDescent="0.25">
      <c r="A86" t="s">
        <v>6</v>
      </c>
      <c r="B86" t="s">
        <v>58</v>
      </c>
      <c r="C86" t="s">
        <v>93</v>
      </c>
      <c r="D86">
        <v>800</v>
      </c>
      <c r="E86">
        <v>2306</v>
      </c>
      <c r="F86">
        <v>0.01</v>
      </c>
    </row>
    <row r="87" spans="1:6" hidden="1" x14ac:dyDescent="0.25">
      <c r="A87" t="s">
        <v>6</v>
      </c>
      <c r="B87" t="s">
        <v>58</v>
      </c>
      <c r="C87" t="s">
        <v>94</v>
      </c>
      <c r="D87">
        <v>1000</v>
      </c>
      <c r="E87">
        <v>2654</v>
      </c>
      <c r="F87">
        <v>0.01</v>
      </c>
    </row>
    <row r="88" spans="1:6" hidden="1" x14ac:dyDescent="0.25">
      <c r="A88" t="s">
        <v>6</v>
      </c>
      <c r="B88" t="s">
        <v>58</v>
      </c>
      <c r="C88" t="s">
        <v>95</v>
      </c>
      <c r="D88">
        <v>300</v>
      </c>
      <c r="E88">
        <v>1236</v>
      </c>
      <c r="F88">
        <v>0.01</v>
      </c>
    </row>
    <row r="89" spans="1:6" hidden="1" x14ac:dyDescent="0.25">
      <c r="A89" t="s">
        <v>6</v>
      </c>
      <c r="B89" t="s">
        <v>58</v>
      </c>
      <c r="C89" t="s">
        <v>96</v>
      </c>
      <c r="D89">
        <v>500</v>
      </c>
      <c r="E89">
        <v>1822</v>
      </c>
      <c r="F89">
        <v>0.01</v>
      </c>
    </row>
    <row r="90" spans="1:6" hidden="1" x14ac:dyDescent="0.25">
      <c r="A90" t="s">
        <v>6</v>
      </c>
      <c r="B90" t="s">
        <v>58</v>
      </c>
      <c r="C90" t="s">
        <v>97</v>
      </c>
      <c r="D90">
        <v>700</v>
      </c>
      <c r="E90">
        <v>2195</v>
      </c>
      <c r="F90">
        <v>0.01</v>
      </c>
    </row>
    <row r="91" spans="1:6" hidden="1" x14ac:dyDescent="0.25">
      <c r="A91" t="s">
        <v>6</v>
      </c>
      <c r="B91" t="s">
        <v>58</v>
      </c>
      <c r="C91" t="s">
        <v>98</v>
      </c>
      <c r="D91">
        <v>800</v>
      </c>
      <c r="E91">
        <v>2233</v>
      </c>
      <c r="F91">
        <v>0.01</v>
      </c>
    </row>
    <row r="92" spans="1:6" hidden="1" x14ac:dyDescent="0.25">
      <c r="A92" t="s">
        <v>6</v>
      </c>
      <c r="B92" t="s">
        <v>58</v>
      </c>
      <c r="C92" t="s">
        <v>99</v>
      </c>
      <c r="D92">
        <v>1000</v>
      </c>
      <c r="E92">
        <v>2634</v>
      </c>
      <c r="F92">
        <v>0.01</v>
      </c>
    </row>
    <row r="93" spans="1:6" hidden="1" x14ac:dyDescent="0.25">
      <c r="A93" t="s">
        <v>6</v>
      </c>
      <c r="B93" t="s">
        <v>58</v>
      </c>
      <c r="C93" t="s">
        <v>100</v>
      </c>
      <c r="D93">
        <v>300</v>
      </c>
      <c r="E93">
        <v>1177</v>
      </c>
      <c r="F93">
        <v>0</v>
      </c>
    </row>
    <row r="94" spans="1:6" hidden="1" x14ac:dyDescent="0.25">
      <c r="A94" t="s">
        <v>6</v>
      </c>
      <c r="B94" t="s">
        <v>58</v>
      </c>
      <c r="C94" t="s">
        <v>101</v>
      </c>
      <c r="D94">
        <v>500</v>
      </c>
      <c r="E94">
        <v>1721</v>
      </c>
      <c r="F94">
        <v>0.01</v>
      </c>
    </row>
    <row r="95" spans="1:6" hidden="1" x14ac:dyDescent="0.25">
      <c r="A95" t="s">
        <v>6</v>
      </c>
      <c r="B95" t="s">
        <v>58</v>
      </c>
      <c r="C95" t="s">
        <v>102</v>
      </c>
      <c r="D95">
        <v>700</v>
      </c>
      <c r="E95">
        <v>2167</v>
      </c>
      <c r="F95">
        <v>0.01</v>
      </c>
    </row>
    <row r="96" spans="1:6" hidden="1" x14ac:dyDescent="0.25">
      <c r="A96" t="s">
        <v>6</v>
      </c>
      <c r="B96" t="s">
        <v>58</v>
      </c>
      <c r="C96" t="s">
        <v>103</v>
      </c>
      <c r="D96">
        <v>800</v>
      </c>
      <c r="E96">
        <v>2254</v>
      </c>
      <c r="F96">
        <v>0.01</v>
      </c>
    </row>
    <row r="97" spans="1:6" hidden="1" x14ac:dyDescent="0.25">
      <c r="A97" t="s">
        <v>6</v>
      </c>
      <c r="B97" t="s">
        <v>58</v>
      </c>
      <c r="C97" t="s">
        <v>104</v>
      </c>
      <c r="D97">
        <v>1000</v>
      </c>
      <c r="E97">
        <v>2604</v>
      </c>
      <c r="F97">
        <v>0.01</v>
      </c>
    </row>
    <row r="98" spans="1:6" hidden="1" x14ac:dyDescent="0.25">
      <c r="A98" t="s">
        <v>6</v>
      </c>
      <c r="B98" t="s">
        <v>58</v>
      </c>
      <c r="C98" t="s">
        <v>105</v>
      </c>
      <c r="D98">
        <v>300</v>
      </c>
      <c r="E98">
        <v>1168</v>
      </c>
      <c r="F98">
        <v>0.01</v>
      </c>
    </row>
    <row r="99" spans="1:6" hidden="1" x14ac:dyDescent="0.25">
      <c r="A99" t="s">
        <v>6</v>
      </c>
      <c r="B99" t="s">
        <v>58</v>
      </c>
      <c r="C99" t="s">
        <v>106</v>
      </c>
      <c r="D99">
        <v>500</v>
      </c>
      <c r="E99">
        <v>1664</v>
      </c>
      <c r="F99">
        <v>0.01</v>
      </c>
    </row>
    <row r="100" spans="1:6" hidden="1" x14ac:dyDescent="0.25">
      <c r="A100" t="s">
        <v>6</v>
      </c>
      <c r="B100" t="s">
        <v>58</v>
      </c>
      <c r="C100" t="s">
        <v>107</v>
      </c>
      <c r="D100">
        <v>700</v>
      </c>
      <c r="E100">
        <v>2065</v>
      </c>
      <c r="F100">
        <v>0.01</v>
      </c>
    </row>
    <row r="101" spans="1:6" hidden="1" x14ac:dyDescent="0.25">
      <c r="A101" t="s">
        <v>6</v>
      </c>
      <c r="B101" t="s">
        <v>58</v>
      </c>
      <c r="C101" t="s">
        <v>108</v>
      </c>
      <c r="D101">
        <v>800</v>
      </c>
      <c r="E101">
        <v>2286</v>
      </c>
      <c r="F101">
        <v>0.01</v>
      </c>
    </row>
    <row r="102" spans="1:6" hidden="1" x14ac:dyDescent="0.25">
      <c r="A102" t="s">
        <v>6</v>
      </c>
      <c r="B102" t="s">
        <v>109</v>
      </c>
      <c r="C102" t="s">
        <v>110</v>
      </c>
      <c r="D102">
        <v>1000</v>
      </c>
      <c r="E102">
        <v>3026</v>
      </c>
      <c r="F102">
        <v>0.01</v>
      </c>
    </row>
    <row r="103" spans="1:6" hidden="1" x14ac:dyDescent="0.25">
      <c r="A103" t="s">
        <v>6</v>
      </c>
      <c r="B103" t="s">
        <v>109</v>
      </c>
      <c r="C103" t="s">
        <v>111</v>
      </c>
      <c r="D103">
        <v>300</v>
      </c>
      <c r="E103">
        <v>1495</v>
      </c>
      <c r="F103">
        <v>0</v>
      </c>
    </row>
    <row r="104" spans="1:6" hidden="1" x14ac:dyDescent="0.25">
      <c r="A104" t="s">
        <v>6</v>
      </c>
      <c r="B104" t="s">
        <v>109</v>
      </c>
      <c r="C104" t="s">
        <v>112</v>
      </c>
      <c r="D104">
        <v>500</v>
      </c>
      <c r="E104">
        <v>2302</v>
      </c>
      <c r="F104">
        <v>0.01</v>
      </c>
    </row>
    <row r="105" spans="1:6" hidden="1" x14ac:dyDescent="0.25">
      <c r="A105" t="s">
        <v>6</v>
      </c>
      <c r="B105" t="s">
        <v>109</v>
      </c>
      <c r="C105" t="s">
        <v>113</v>
      </c>
      <c r="D105">
        <v>700</v>
      </c>
      <c r="E105">
        <v>2715</v>
      </c>
      <c r="F105">
        <v>0.01</v>
      </c>
    </row>
    <row r="106" spans="1:6" hidden="1" x14ac:dyDescent="0.25">
      <c r="A106" t="s">
        <v>6</v>
      </c>
      <c r="B106" t="s">
        <v>109</v>
      </c>
      <c r="C106" t="s">
        <v>114</v>
      </c>
      <c r="D106">
        <v>800</v>
      </c>
      <c r="E106">
        <v>2683</v>
      </c>
      <c r="F106">
        <v>0.01</v>
      </c>
    </row>
    <row r="107" spans="1:6" hidden="1" x14ac:dyDescent="0.25">
      <c r="A107" t="s">
        <v>6</v>
      </c>
      <c r="B107" t="s">
        <v>109</v>
      </c>
      <c r="C107" t="s">
        <v>115</v>
      </c>
      <c r="D107">
        <v>1000</v>
      </c>
      <c r="E107">
        <v>2878</v>
      </c>
      <c r="F107">
        <v>0.01</v>
      </c>
    </row>
    <row r="108" spans="1:6" hidden="1" x14ac:dyDescent="0.25">
      <c r="A108" t="s">
        <v>6</v>
      </c>
      <c r="B108" t="s">
        <v>109</v>
      </c>
      <c r="C108" t="s">
        <v>116</v>
      </c>
      <c r="D108">
        <v>300</v>
      </c>
      <c r="E108">
        <v>1515</v>
      </c>
      <c r="F108">
        <v>0</v>
      </c>
    </row>
    <row r="109" spans="1:6" hidden="1" x14ac:dyDescent="0.25">
      <c r="A109" t="s">
        <v>6</v>
      </c>
      <c r="B109" t="s">
        <v>109</v>
      </c>
      <c r="C109" t="s">
        <v>117</v>
      </c>
      <c r="D109">
        <v>500</v>
      </c>
      <c r="E109">
        <v>2307</v>
      </c>
      <c r="F109">
        <v>0.01</v>
      </c>
    </row>
    <row r="110" spans="1:6" hidden="1" x14ac:dyDescent="0.25">
      <c r="A110" t="s">
        <v>6</v>
      </c>
      <c r="B110" t="s">
        <v>109</v>
      </c>
      <c r="C110" t="s">
        <v>118</v>
      </c>
      <c r="D110">
        <v>700</v>
      </c>
      <c r="E110">
        <v>2603</v>
      </c>
      <c r="F110">
        <v>0.01</v>
      </c>
    </row>
    <row r="111" spans="1:6" hidden="1" x14ac:dyDescent="0.25">
      <c r="A111" t="s">
        <v>6</v>
      </c>
      <c r="B111" t="s">
        <v>109</v>
      </c>
      <c r="C111" t="s">
        <v>119</v>
      </c>
      <c r="D111">
        <v>800</v>
      </c>
      <c r="E111">
        <v>2632</v>
      </c>
      <c r="F111">
        <v>0.01</v>
      </c>
    </row>
    <row r="112" spans="1:6" hidden="1" x14ac:dyDescent="0.25">
      <c r="A112" t="s">
        <v>6</v>
      </c>
      <c r="B112" t="s">
        <v>109</v>
      </c>
      <c r="C112" t="s">
        <v>120</v>
      </c>
      <c r="D112">
        <v>1000</v>
      </c>
      <c r="E112">
        <v>2778</v>
      </c>
      <c r="F112">
        <v>0.01</v>
      </c>
    </row>
    <row r="113" spans="1:6" hidden="1" x14ac:dyDescent="0.25">
      <c r="A113" t="s">
        <v>6</v>
      </c>
      <c r="B113" t="s">
        <v>109</v>
      </c>
      <c r="C113" t="s">
        <v>121</v>
      </c>
      <c r="D113">
        <v>300</v>
      </c>
      <c r="E113">
        <v>1478</v>
      </c>
      <c r="F113">
        <v>0</v>
      </c>
    </row>
    <row r="114" spans="1:6" hidden="1" x14ac:dyDescent="0.25">
      <c r="A114" t="s">
        <v>6</v>
      </c>
      <c r="B114" t="s">
        <v>109</v>
      </c>
      <c r="C114" t="s">
        <v>122</v>
      </c>
      <c r="D114">
        <v>500</v>
      </c>
      <c r="E114">
        <v>2209</v>
      </c>
      <c r="F114">
        <v>0.01</v>
      </c>
    </row>
    <row r="115" spans="1:6" hidden="1" x14ac:dyDescent="0.25">
      <c r="A115" t="s">
        <v>6</v>
      </c>
      <c r="B115" t="s">
        <v>109</v>
      </c>
      <c r="C115" t="s">
        <v>123</v>
      </c>
      <c r="D115">
        <v>700</v>
      </c>
      <c r="E115">
        <v>2512</v>
      </c>
      <c r="F115">
        <v>0.01</v>
      </c>
    </row>
    <row r="116" spans="1:6" hidden="1" x14ac:dyDescent="0.25">
      <c r="A116" t="s">
        <v>6</v>
      </c>
      <c r="B116" t="s">
        <v>109</v>
      </c>
      <c r="C116" t="s">
        <v>124</v>
      </c>
      <c r="D116">
        <v>800</v>
      </c>
      <c r="E116">
        <v>2859</v>
      </c>
      <c r="F116">
        <v>0.01</v>
      </c>
    </row>
    <row r="117" spans="1:6" hidden="1" x14ac:dyDescent="0.25">
      <c r="A117" t="s">
        <v>6</v>
      </c>
      <c r="B117" t="s">
        <v>109</v>
      </c>
      <c r="C117" t="s">
        <v>125</v>
      </c>
      <c r="D117">
        <v>1000</v>
      </c>
      <c r="E117">
        <v>2815</v>
      </c>
      <c r="F117">
        <v>0.01</v>
      </c>
    </row>
    <row r="118" spans="1:6" hidden="1" x14ac:dyDescent="0.25">
      <c r="A118" t="s">
        <v>6</v>
      </c>
      <c r="B118" t="s">
        <v>109</v>
      </c>
      <c r="C118" t="s">
        <v>126</v>
      </c>
      <c r="D118">
        <v>300</v>
      </c>
      <c r="E118">
        <v>1409</v>
      </c>
      <c r="F118">
        <v>0</v>
      </c>
    </row>
    <row r="119" spans="1:6" hidden="1" x14ac:dyDescent="0.25">
      <c r="A119" t="s">
        <v>6</v>
      </c>
      <c r="B119" t="s">
        <v>109</v>
      </c>
      <c r="C119" t="s">
        <v>127</v>
      </c>
      <c r="D119">
        <v>500</v>
      </c>
      <c r="E119">
        <v>2245</v>
      </c>
      <c r="F119">
        <v>0.01</v>
      </c>
    </row>
    <row r="120" spans="1:6" hidden="1" x14ac:dyDescent="0.25">
      <c r="A120" t="s">
        <v>6</v>
      </c>
      <c r="B120" t="s">
        <v>109</v>
      </c>
      <c r="C120" t="s">
        <v>128</v>
      </c>
      <c r="D120">
        <v>700</v>
      </c>
      <c r="E120">
        <v>2611</v>
      </c>
      <c r="F120">
        <v>0.01</v>
      </c>
    </row>
    <row r="121" spans="1:6" hidden="1" x14ac:dyDescent="0.25">
      <c r="A121" t="s">
        <v>6</v>
      </c>
      <c r="B121" t="s">
        <v>109</v>
      </c>
      <c r="C121" t="s">
        <v>129</v>
      </c>
      <c r="D121">
        <v>800</v>
      </c>
      <c r="E121">
        <v>2862</v>
      </c>
      <c r="F121">
        <v>0.01</v>
      </c>
    </row>
    <row r="122" spans="1:6" hidden="1" x14ac:dyDescent="0.25">
      <c r="A122" t="s">
        <v>6</v>
      </c>
      <c r="B122" t="s">
        <v>109</v>
      </c>
      <c r="C122" t="s">
        <v>130</v>
      </c>
      <c r="D122">
        <v>1000</v>
      </c>
      <c r="E122">
        <v>3071</v>
      </c>
      <c r="F122">
        <v>0.02</v>
      </c>
    </row>
    <row r="123" spans="1:6" hidden="1" x14ac:dyDescent="0.25">
      <c r="A123" t="s">
        <v>6</v>
      </c>
      <c r="B123" t="s">
        <v>109</v>
      </c>
      <c r="C123" t="s">
        <v>131</v>
      </c>
      <c r="D123">
        <v>300</v>
      </c>
      <c r="E123">
        <v>1706</v>
      </c>
      <c r="F123">
        <v>0</v>
      </c>
    </row>
    <row r="124" spans="1:6" hidden="1" x14ac:dyDescent="0.25">
      <c r="A124" t="s">
        <v>6</v>
      </c>
      <c r="B124" t="s">
        <v>109</v>
      </c>
      <c r="C124" t="s">
        <v>132</v>
      </c>
      <c r="D124">
        <v>500</v>
      </c>
      <c r="E124">
        <v>2117</v>
      </c>
      <c r="F124">
        <v>0.01</v>
      </c>
    </row>
    <row r="125" spans="1:6" hidden="1" x14ac:dyDescent="0.25">
      <c r="A125" t="s">
        <v>6</v>
      </c>
      <c r="B125" t="s">
        <v>109</v>
      </c>
      <c r="C125" t="s">
        <v>133</v>
      </c>
      <c r="D125">
        <v>700</v>
      </c>
      <c r="E125">
        <v>2646</v>
      </c>
      <c r="F125">
        <v>0.01</v>
      </c>
    </row>
    <row r="126" spans="1:6" hidden="1" x14ac:dyDescent="0.25">
      <c r="A126" t="s">
        <v>6</v>
      </c>
      <c r="B126" t="s">
        <v>109</v>
      </c>
      <c r="C126" t="s">
        <v>134</v>
      </c>
      <c r="D126">
        <v>800</v>
      </c>
      <c r="E126">
        <v>2826</v>
      </c>
      <c r="F126">
        <v>0.01</v>
      </c>
    </row>
    <row r="127" spans="1:6" hidden="1" x14ac:dyDescent="0.25">
      <c r="A127" t="s">
        <v>6</v>
      </c>
      <c r="B127" t="s">
        <v>109</v>
      </c>
      <c r="C127" t="s">
        <v>135</v>
      </c>
      <c r="D127">
        <v>1000</v>
      </c>
      <c r="E127">
        <v>2872</v>
      </c>
      <c r="F127">
        <v>0.01</v>
      </c>
    </row>
    <row r="128" spans="1:6" hidden="1" x14ac:dyDescent="0.25">
      <c r="A128" t="s">
        <v>6</v>
      </c>
      <c r="B128" t="s">
        <v>109</v>
      </c>
      <c r="C128" t="s">
        <v>136</v>
      </c>
      <c r="D128">
        <v>300</v>
      </c>
      <c r="E128">
        <v>1486</v>
      </c>
      <c r="F128">
        <v>0.02</v>
      </c>
    </row>
    <row r="129" spans="1:6" hidden="1" x14ac:dyDescent="0.25">
      <c r="A129" t="s">
        <v>6</v>
      </c>
      <c r="B129" t="s">
        <v>109</v>
      </c>
      <c r="C129" t="s">
        <v>137</v>
      </c>
      <c r="D129">
        <v>500</v>
      </c>
      <c r="E129">
        <v>2309</v>
      </c>
      <c r="F129">
        <v>0.01</v>
      </c>
    </row>
    <row r="130" spans="1:6" hidden="1" x14ac:dyDescent="0.25">
      <c r="A130" t="s">
        <v>6</v>
      </c>
      <c r="B130" t="s">
        <v>109</v>
      </c>
      <c r="C130" t="s">
        <v>138</v>
      </c>
      <c r="D130">
        <v>700</v>
      </c>
      <c r="E130">
        <v>2680</v>
      </c>
      <c r="F130">
        <v>0.01</v>
      </c>
    </row>
    <row r="131" spans="1:6" hidden="1" x14ac:dyDescent="0.25">
      <c r="A131" t="s">
        <v>6</v>
      </c>
      <c r="B131" t="s">
        <v>109</v>
      </c>
      <c r="C131" t="s">
        <v>139</v>
      </c>
      <c r="D131">
        <v>800</v>
      </c>
      <c r="E131">
        <v>2776</v>
      </c>
      <c r="F131">
        <v>0.01</v>
      </c>
    </row>
    <row r="132" spans="1:6" hidden="1" x14ac:dyDescent="0.25">
      <c r="A132" t="s">
        <v>6</v>
      </c>
      <c r="B132" t="s">
        <v>109</v>
      </c>
      <c r="C132" t="s">
        <v>140</v>
      </c>
      <c r="D132">
        <v>1000</v>
      </c>
      <c r="E132">
        <v>3029</v>
      </c>
      <c r="F132">
        <v>0.01</v>
      </c>
    </row>
    <row r="133" spans="1:6" hidden="1" x14ac:dyDescent="0.25">
      <c r="A133" t="s">
        <v>6</v>
      </c>
      <c r="B133" t="s">
        <v>109</v>
      </c>
      <c r="C133" t="s">
        <v>141</v>
      </c>
      <c r="D133">
        <v>300</v>
      </c>
      <c r="E133">
        <v>1551</v>
      </c>
      <c r="F133">
        <v>0</v>
      </c>
    </row>
    <row r="134" spans="1:6" hidden="1" x14ac:dyDescent="0.25">
      <c r="A134" t="s">
        <v>6</v>
      </c>
      <c r="B134" t="s">
        <v>109</v>
      </c>
      <c r="C134" t="s">
        <v>142</v>
      </c>
      <c r="D134">
        <v>500</v>
      </c>
      <c r="E134">
        <v>2225</v>
      </c>
      <c r="F134">
        <v>0.01</v>
      </c>
    </row>
    <row r="135" spans="1:6" hidden="1" x14ac:dyDescent="0.25">
      <c r="A135" t="s">
        <v>6</v>
      </c>
      <c r="B135" t="s">
        <v>109</v>
      </c>
      <c r="C135" t="s">
        <v>143</v>
      </c>
      <c r="D135">
        <v>700</v>
      </c>
      <c r="E135">
        <v>2625</v>
      </c>
      <c r="F135">
        <v>0.01</v>
      </c>
    </row>
    <row r="136" spans="1:6" hidden="1" x14ac:dyDescent="0.25">
      <c r="A136" t="s">
        <v>6</v>
      </c>
      <c r="B136" t="s">
        <v>109</v>
      </c>
      <c r="C136" t="s">
        <v>144</v>
      </c>
      <c r="D136">
        <v>800</v>
      </c>
      <c r="E136">
        <v>2670</v>
      </c>
      <c r="F136">
        <v>0.01</v>
      </c>
    </row>
    <row r="137" spans="1:6" hidden="1" x14ac:dyDescent="0.25">
      <c r="A137" t="s">
        <v>6</v>
      </c>
      <c r="B137" t="s">
        <v>109</v>
      </c>
      <c r="C137" t="s">
        <v>145</v>
      </c>
      <c r="D137">
        <v>1000</v>
      </c>
      <c r="E137">
        <v>2814</v>
      </c>
      <c r="F137">
        <v>0.01</v>
      </c>
    </row>
    <row r="138" spans="1:6" hidden="1" x14ac:dyDescent="0.25">
      <c r="A138" t="s">
        <v>6</v>
      </c>
      <c r="B138" t="s">
        <v>109</v>
      </c>
      <c r="C138" t="s">
        <v>146</v>
      </c>
      <c r="D138">
        <v>300</v>
      </c>
      <c r="E138">
        <v>1508</v>
      </c>
      <c r="F138">
        <v>0.01</v>
      </c>
    </row>
    <row r="139" spans="1:6" hidden="1" x14ac:dyDescent="0.25">
      <c r="A139" t="s">
        <v>6</v>
      </c>
      <c r="B139" t="s">
        <v>109</v>
      </c>
      <c r="C139" t="s">
        <v>147</v>
      </c>
      <c r="D139">
        <v>500</v>
      </c>
      <c r="E139">
        <v>2172</v>
      </c>
      <c r="F139">
        <v>0.01</v>
      </c>
    </row>
    <row r="140" spans="1:6" hidden="1" x14ac:dyDescent="0.25">
      <c r="A140" t="s">
        <v>6</v>
      </c>
      <c r="B140" t="s">
        <v>109</v>
      </c>
      <c r="C140" t="s">
        <v>148</v>
      </c>
      <c r="D140">
        <v>700</v>
      </c>
      <c r="E140">
        <v>2650</v>
      </c>
      <c r="F140">
        <v>0.01</v>
      </c>
    </row>
    <row r="141" spans="1:6" hidden="1" x14ac:dyDescent="0.25">
      <c r="A141" t="s">
        <v>6</v>
      </c>
      <c r="B141" t="s">
        <v>109</v>
      </c>
      <c r="C141" t="s">
        <v>149</v>
      </c>
      <c r="D141">
        <v>800</v>
      </c>
      <c r="E141">
        <v>2802</v>
      </c>
      <c r="F141">
        <v>0.01</v>
      </c>
    </row>
    <row r="142" spans="1:6" hidden="1" x14ac:dyDescent="0.25">
      <c r="A142" t="s">
        <v>6</v>
      </c>
      <c r="B142" t="s">
        <v>109</v>
      </c>
      <c r="C142" t="s">
        <v>150</v>
      </c>
      <c r="D142">
        <v>1000</v>
      </c>
      <c r="E142">
        <v>2808</v>
      </c>
      <c r="F142">
        <v>0.01</v>
      </c>
    </row>
    <row r="143" spans="1:6" hidden="1" x14ac:dyDescent="0.25">
      <c r="A143" t="s">
        <v>6</v>
      </c>
      <c r="B143" t="s">
        <v>109</v>
      </c>
      <c r="C143" t="s">
        <v>151</v>
      </c>
      <c r="D143">
        <v>300</v>
      </c>
      <c r="E143">
        <v>1522</v>
      </c>
      <c r="F143">
        <v>0.01</v>
      </c>
    </row>
    <row r="144" spans="1:6" hidden="1" x14ac:dyDescent="0.25">
      <c r="A144" t="s">
        <v>6</v>
      </c>
      <c r="B144" t="s">
        <v>109</v>
      </c>
      <c r="C144" t="s">
        <v>152</v>
      </c>
      <c r="D144">
        <v>500</v>
      </c>
      <c r="E144">
        <v>2187</v>
      </c>
      <c r="F144">
        <v>0.01</v>
      </c>
    </row>
    <row r="145" spans="1:6" hidden="1" x14ac:dyDescent="0.25">
      <c r="A145" t="s">
        <v>6</v>
      </c>
      <c r="B145" t="s">
        <v>109</v>
      </c>
      <c r="C145" t="s">
        <v>153</v>
      </c>
      <c r="D145">
        <v>700</v>
      </c>
      <c r="E145">
        <v>2570</v>
      </c>
      <c r="F145">
        <v>0.01</v>
      </c>
    </row>
    <row r="146" spans="1:6" hidden="1" x14ac:dyDescent="0.25">
      <c r="A146" t="s">
        <v>6</v>
      </c>
      <c r="B146" t="s">
        <v>109</v>
      </c>
      <c r="C146" t="s">
        <v>154</v>
      </c>
      <c r="D146">
        <v>800</v>
      </c>
      <c r="E146">
        <v>2818</v>
      </c>
      <c r="F146">
        <v>0.01</v>
      </c>
    </row>
    <row r="147" spans="1:6" hidden="1" x14ac:dyDescent="0.25">
      <c r="A147" t="s">
        <v>6</v>
      </c>
      <c r="B147" t="s">
        <v>109</v>
      </c>
      <c r="C147" t="s">
        <v>155</v>
      </c>
      <c r="D147">
        <v>1000</v>
      </c>
      <c r="E147">
        <v>2804</v>
      </c>
      <c r="F147">
        <v>0.01</v>
      </c>
    </row>
    <row r="148" spans="1:6" hidden="1" x14ac:dyDescent="0.25">
      <c r="A148" t="s">
        <v>6</v>
      </c>
      <c r="B148" t="s">
        <v>109</v>
      </c>
      <c r="C148" t="s">
        <v>156</v>
      </c>
      <c r="D148">
        <v>300</v>
      </c>
      <c r="E148">
        <v>1453</v>
      </c>
      <c r="F148">
        <v>0</v>
      </c>
    </row>
    <row r="149" spans="1:6" hidden="1" x14ac:dyDescent="0.25">
      <c r="A149" t="s">
        <v>6</v>
      </c>
      <c r="B149" t="s">
        <v>109</v>
      </c>
      <c r="C149" t="s">
        <v>157</v>
      </c>
      <c r="D149">
        <v>500</v>
      </c>
      <c r="E149">
        <v>2217</v>
      </c>
      <c r="F149">
        <v>0.01</v>
      </c>
    </row>
    <row r="150" spans="1:6" hidden="1" x14ac:dyDescent="0.25">
      <c r="A150" t="s">
        <v>6</v>
      </c>
      <c r="B150" t="s">
        <v>109</v>
      </c>
      <c r="C150" t="s">
        <v>158</v>
      </c>
      <c r="D150">
        <v>700</v>
      </c>
      <c r="E150">
        <v>2809</v>
      </c>
      <c r="F150">
        <v>0.04</v>
      </c>
    </row>
    <row r="151" spans="1:6" hidden="1" x14ac:dyDescent="0.25">
      <c r="A151" t="s">
        <v>6</v>
      </c>
      <c r="B151" t="s">
        <v>109</v>
      </c>
      <c r="C151" t="s">
        <v>159</v>
      </c>
      <c r="D151">
        <v>800</v>
      </c>
      <c r="E151">
        <v>2839</v>
      </c>
      <c r="F151">
        <v>0.01</v>
      </c>
    </row>
    <row r="152" spans="1:6" hidden="1" x14ac:dyDescent="0.25">
      <c r="A152" t="s">
        <v>160</v>
      </c>
      <c r="B152" t="s">
        <v>7</v>
      </c>
      <c r="C152" t="s">
        <v>161</v>
      </c>
      <c r="D152">
        <v>1000</v>
      </c>
      <c r="E152">
        <v>2046</v>
      </c>
      <c r="F152">
        <v>0.01</v>
      </c>
    </row>
    <row r="153" spans="1:6" hidden="1" x14ac:dyDescent="0.25">
      <c r="A153" t="s">
        <v>160</v>
      </c>
      <c r="B153" t="s">
        <v>7</v>
      </c>
      <c r="C153" t="s">
        <v>162</v>
      </c>
      <c r="D153">
        <v>300</v>
      </c>
      <c r="E153">
        <v>975</v>
      </c>
      <c r="F153">
        <v>0</v>
      </c>
    </row>
    <row r="154" spans="1:6" hidden="1" x14ac:dyDescent="0.25">
      <c r="A154" t="s">
        <v>160</v>
      </c>
      <c r="B154" t="s">
        <v>7</v>
      </c>
      <c r="C154" t="s">
        <v>163</v>
      </c>
      <c r="D154">
        <v>500</v>
      </c>
      <c r="E154">
        <v>1330</v>
      </c>
      <c r="F154">
        <v>0.01</v>
      </c>
    </row>
    <row r="155" spans="1:6" hidden="1" x14ac:dyDescent="0.25">
      <c r="A155" t="s">
        <v>160</v>
      </c>
      <c r="B155" t="s">
        <v>7</v>
      </c>
      <c r="C155" t="s">
        <v>164</v>
      </c>
      <c r="D155">
        <v>700</v>
      </c>
      <c r="E155">
        <v>1665</v>
      </c>
      <c r="F155">
        <v>0.01</v>
      </c>
    </row>
    <row r="156" spans="1:6" hidden="1" x14ac:dyDescent="0.25">
      <c r="A156" t="s">
        <v>160</v>
      </c>
      <c r="B156" t="s">
        <v>7</v>
      </c>
      <c r="C156" t="s">
        <v>165</v>
      </c>
      <c r="D156">
        <v>800</v>
      </c>
      <c r="E156">
        <v>1782</v>
      </c>
      <c r="F156">
        <v>0.01</v>
      </c>
    </row>
    <row r="157" spans="1:6" hidden="1" x14ac:dyDescent="0.25">
      <c r="A157" t="s">
        <v>160</v>
      </c>
      <c r="B157" t="s">
        <v>7</v>
      </c>
      <c r="C157" t="s">
        <v>166</v>
      </c>
      <c r="D157">
        <v>1000</v>
      </c>
      <c r="E157">
        <v>2107</v>
      </c>
      <c r="F157">
        <v>0.01</v>
      </c>
    </row>
    <row r="158" spans="1:6" hidden="1" x14ac:dyDescent="0.25">
      <c r="A158" t="s">
        <v>160</v>
      </c>
      <c r="B158" t="s">
        <v>7</v>
      </c>
      <c r="C158" t="s">
        <v>167</v>
      </c>
      <c r="D158">
        <v>300</v>
      </c>
      <c r="E158">
        <v>965</v>
      </c>
      <c r="F158">
        <v>0</v>
      </c>
    </row>
    <row r="159" spans="1:6" hidden="1" x14ac:dyDescent="0.25">
      <c r="A159" t="s">
        <v>160</v>
      </c>
      <c r="B159" t="s">
        <v>7</v>
      </c>
      <c r="C159" t="s">
        <v>168</v>
      </c>
      <c r="D159">
        <v>500</v>
      </c>
      <c r="E159">
        <v>1305</v>
      </c>
      <c r="F159">
        <v>0.01</v>
      </c>
    </row>
    <row r="160" spans="1:6" hidden="1" x14ac:dyDescent="0.25">
      <c r="A160" t="s">
        <v>160</v>
      </c>
      <c r="B160" t="s">
        <v>7</v>
      </c>
      <c r="C160" t="s">
        <v>169</v>
      </c>
      <c r="D160">
        <v>700</v>
      </c>
      <c r="E160">
        <v>1616</v>
      </c>
      <c r="F160">
        <v>0.01</v>
      </c>
    </row>
    <row r="161" spans="1:6" hidden="1" x14ac:dyDescent="0.25">
      <c r="A161" t="s">
        <v>160</v>
      </c>
      <c r="B161" t="s">
        <v>7</v>
      </c>
      <c r="C161" t="s">
        <v>170</v>
      </c>
      <c r="D161">
        <v>800</v>
      </c>
      <c r="E161">
        <v>1782</v>
      </c>
      <c r="F161">
        <v>0.01</v>
      </c>
    </row>
    <row r="162" spans="1:6" hidden="1" x14ac:dyDescent="0.25">
      <c r="A162" t="s">
        <v>160</v>
      </c>
      <c r="B162" t="s">
        <v>7</v>
      </c>
      <c r="C162" t="s">
        <v>171</v>
      </c>
      <c r="D162">
        <v>1000</v>
      </c>
      <c r="E162">
        <v>2126</v>
      </c>
      <c r="F162">
        <v>0.01</v>
      </c>
    </row>
    <row r="163" spans="1:6" hidden="1" x14ac:dyDescent="0.25">
      <c r="A163" t="s">
        <v>160</v>
      </c>
      <c r="B163" t="s">
        <v>7</v>
      </c>
      <c r="C163" t="s">
        <v>172</v>
      </c>
      <c r="D163">
        <v>300</v>
      </c>
      <c r="E163">
        <v>967</v>
      </c>
      <c r="F163">
        <v>0.01</v>
      </c>
    </row>
    <row r="164" spans="1:6" hidden="1" x14ac:dyDescent="0.25">
      <c r="A164" t="s">
        <v>160</v>
      </c>
      <c r="B164" t="s">
        <v>7</v>
      </c>
      <c r="C164" t="s">
        <v>173</v>
      </c>
      <c r="D164">
        <v>500</v>
      </c>
      <c r="E164">
        <v>1347</v>
      </c>
      <c r="F164">
        <v>0.01</v>
      </c>
    </row>
    <row r="165" spans="1:6" hidden="1" x14ac:dyDescent="0.25">
      <c r="A165" t="s">
        <v>160</v>
      </c>
      <c r="B165" t="s">
        <v>7</v>
      </c>
      <c r="C165" t="s">
        <v>174</v>
      </c>
      <c r="D165">
        <v>700</v>
      </c>
      <c r="E165">
        <v>1705</v>
      </c>
      <c r="F165">
        <v>0.01</v>
      </c>
    </row>
    <row r="166" spans="1:6" hidden="1" x14ac:dyDescent="0.25">
      <c r="A166" t="s">
        <v>160</v>
      </c>
      <c r="B166" t="s">
        <v>7</v>
      </c>
      <c r="C166" t="s">
        <v>175</v>
      </c>
      <c r="D166">
        <v>800</v>
      </c>
      <c r="E166">
        <v>1872</v>
      </c>
      <c r="F166">
        <v>0.01</v>
      </c>
    </row>
    <row r="167" spans="1:6" hidden="1" x14ac:dyDescent="0.25">
      <c r="A167" t="s">
        <v>160</v>
      </c>
      <c r="B167" t="s">
        <v>7</v>
      </c>
      <c r="C167" t="s">
        <v>176</v>
      </c>
      <c r="D167">
        <v>1000</v>
      </c>
      <c r="E167">
        <v>2092</v>
      </c>
      <c r="F167">
        <v>0.01</v>
      </c>
    </row>
    <row r="168" spans="1:6" hidden="1" x14ac:dyDescent="0.25">
      <c r="A168" t="s">
        <v>160</v>
      </c>
      <c r="B168" t="s">
        <v>7</v>
      </c>
      <c r="C168" t="s">
        <v>177</v>
      </c>
      <c r="D168">
        <v>300</v>
      </c>
      <c r="E168">
        <v>1015</v>
      </c>
      <c r="F168">
        <v>0.01</v>
      </c>
    </row>
    <row r="169" spans="1:6" hidden="1" x14ac:dyDescent="0.25">
      <c r="A169" t="s">
        <v>160</v>
      </c>
      <c r="B169" t="s">
        <v>7</v>
      </c>
      <c r="C169" t="s">
        <v>178</v>
      </c>
      <c r="D169">
        <v>500</v>
      </c>
      <c r="E169">
        <v>1295</v>
      </c>
      <c r="F169">
        <v>0.01</v>
      </c>
    </row>
    <row r="170" spans="1:6" hidden="1" x14ac:dyDescent="0.25">
      <c r="A170" t="s">
        <v>160</v>
      </c>
      <c r="B170" t="s">
        <v>7</v>
      </c>
      <c r="C170" t="s">
        <v>179</v>
      </c>
      <c r="D170">
        <v>700</v>
      </c>
      <c r="E170">
        <v>1625</v>
      </c>
      <c r="F170">
        <v>0.01</v>
      </c>
    </row>
    <row r="171" spans="1:6" hidden="1" x14ac:dyDescent="0.25">
      <c r="A171" t="s">
        <v>160</v>
      </c>
      <c r="B171" t="s">
        <v>7</v>
      </c>
      <c r="C171" t="s">
        <v>180</v>
      </c>
      <c r="D171">
        <v>800</v>
      </c>
      <c r="E171">
        <v>1802</v>
      </c>
      <c r="F171">
        <v>0.01</v>
      </c>
    </row>
    <row r="172" spans="1:6" hidden="1" x14ac:dyDescent="0.25">
      <c r="A172" t="s">
        <v>160</v>
      </c>
      <c r="B172" t="s">
        <v>7</v>
      </c>
      <c r="C172" t="s">
        <v>181</v>
      </c>
      <c r="D172">
        <v>1000</v>
      </c>
      <c r="E172">
        <v>2106</v>
      </c>
      <c r="F172">
        <v>0.01</v>
      </c>
    </row>
    <row r="173" spans="1:6" hidden="1" x14ac:dyDescent="0.25">
      <c r="A173" t="s">
        <v>160</v>
      </c>
      <c r="B173" t="s">
        <v>7</v>
      </c>
      <c r="C173" t="s">
        <v>182</v>
      </c>
      <c r="D173">
        <v>300</v>
      </c>
      <c r="E173">
        <v>1009</v>
      </c>
      <c r="F173">
        <v>0.01</v>
      </c>
    </row>
    <row r="174" spans="1:6" hidden="1" x14ac:dyDescent="0.25">
      <c r="A174" t="s">
        <v>160</v>
      </c>
      <c r="B174" t="s">
        <v>7</v>
      </c>
      <c r="C174" t="s">
        <v>183</v>
      </c>
      <c r="D174">
        <v>500</v>
      </c>
      <c r="E174">
        <v>1266</v>
      </c>
      <c r="F174">
        <v>0.01</v>
      </c>
    </row>
    <row r="175" spans="1:6" hidden="1" x14ac:dyDescent="0.25">
      <c r="A175" t="s">
        <v>160</v>
      </c>
      <c r="B175" t="s">
        <v>7</v>
      </c>
      <c r="C175" t="s">
        <v>184</v>
      </c>
      <c r="D175">
        <v>700</v>
      </c>
      <c r="E175">
        <v>1595</v>
      </c>
      <c r="F175">
        <v>0.01</v>
      </c>
    </row>
    <row r="176" spans="1:6" hidden="1" x14ac:dyDescent="0.25">
      <c r="A176" t="s">
        <v>160</v>
      </c>
      <c r="B176" t="s">
        <v>7</v>
      </c>
      <c r="C176" t="s">
        <v>185</v>
      </c>
      <c r="D176">
        <v>800</v>
      </c>
      <c r="E176">
        <v>1842</v>
      </c>
      <c r="F176">
        <v>0.01</v>
      </c>
    </row>
    <row r="177" spans="1:6" hidden="1" x14ac:dyDescent="0.25">
      <c r="A177" t="s">
        <v>160</v>
      </c>
      <c r="B177" t="s">
        <v>7</v>
      </c>
      <c r="C177" t="s">
        <v>186</v>
      </c>
      <c r="D177">
        <v>1000</v>
      </c>
      <c r="E177">
        <v>2078</v>
      </c>
      <c r="F177">
        <v>0.01</v>
      </c>
    </row>
    <row r="178" spans="1:6" hidden="1" x14ac:dyDescent="0.25">
      <c r="A178" t="s">
        <v>160</v>
      </c>
      <c r="B178" t="s">
        <v>7</v>
      </c>
      <c r="C178" t="s">
        <v>187</v>
      </c>
      <c r="D178">
        <v>300</v>
      </c>
      <c r="E178">
        <v>1044</v>
      </c>
      <c r="F178">
        <v>0</v>
      </c>
    </row>
    <row r="179" spans="1:6" hidden="1" x14ac:dyDescent="0.25">
      <c r="A179" t="s">
        <v>160</v>
      </c>
      <c r="B179" t="s">
        <v>7</v>
      </c>
      <c r="C179" t="s">
        <v>188</v>
      </c>
      <c r="D179">
        <v>500</v>
      </c>
      <c r="E179">
        <v>1315</v>
      </c>
      <c r="F179">
        <v>0.01</v>
      </c>
    </row>
    <row r="180" spans="1:6" hidden="1" x14ac:dyDescent="0.25">
      <c r="A180" t="s">
        <v>160</v>
      </c>
      <c r="B180" t="s">
        <v>7</v>
      </c>
      <c r="C180" t="s">
        <v>189</v>
      </c>
      <c r="D180">
        <v>700</v>
      </c>
      <c r="E180">
        <v>1592</v>
      </c>
      <c r="F180">
        <v>0.01</v>
      </c>
    </row>
    <row r="181" spans="1:6" hidden="1" x14ac:dyDescent="0.25">
      <c r="A181" t="s">
        <v>160</v>
      </c>
      <c r="B181" t="s">
        <v>7</v>
      </c>
      <c r="C181" t="s">
        <v>190</v>
      </c>
      <c r="D181">
        <v>800</v>
      </c>
      <c r="E181">
        <v>1832</v>
      </c>
      <c r="F181">
        <v>0.01</v>
      </c>
    </row>
    <row r="182" spans="1:6" hidden="1" x14ac:dyDescent="0.25">
      <c r="A182" t="s">
        <v>160</v>
      </c>
      <c r="B182" t="s">
        <v>7</v>
      </c>
      <c r="C182" t="s">
        <v>191</v>
      </c>
      <c r="D182">
        <v>1000</v>
      </c>
      <c r="E182">
        <v>2070</v>
      </c>
      <c r="F182">
        <v>0.01</v>
      </c>
    </row>
    <row r="183" spans="1:6" hidden="1" x14ac:dyDescent="0.25">
      <c r="A183" t="s">
        <v>160</v>
      </c>
      <c r="B183" t="s">
        <v>7</v>
      </c>
      <c r="C183" t="s">
        <v>192</v>
      </c>
      <c r="D183">
        <v>300</v>
      </c>
      <c r="E183">
        <v>1035</v>
      </c>
      <c r="F183">
        <v>0</v>
      </c>
    </row>
    <row r="184" spans="1:6" hidden="1" x14ac:dyDescent="0.25">
      <c r="A184" t="s">
        <v>160</v>
      </c>
      <c r="B184" t="s">
        <v>7</v>
      </c>
      <c r="C184" t="s">
        <v>193</v>
      </c>
      <c r="D184">
        <v>500</v>
      </c>
      <c r="E184">
        <v>1365</v>
      </c>
      <c r="F184">
        <v>0</v>
      </c>
    </row>
    <row r="185" spans="1:6" hidden="1" x14ac:dyDescent="0.25">
      <c r="A185" t="s">
        <v>160</v>
      </c>
      <c r="B185" t="s">
        <v>7</v>
      </c>
      <c r="C185" t="s">
        <v>194</v>
      </c>
      <c r="D185">
        <v>700</v>
      </c>
      <c r="E185">
        <v>1695</v>
      </c>
      <c r="F185">
        <v>0.01</v>
      </c>
    </row>
    <row r="186" spans="1:6" hidden="1" x14ac:dyDescent="0.25">
      <c r="A186" t="s">
        <v>160</v>
      </c>
      <c r="B186" t="s">
        <v>7</v>
      </c>
      <c r="C186" t="s">
        <v>195</v>
      </c>
      <c r="D186">
        <v>800</v>
      </c>
      <c r="E186">
        <v>1762</v>
      </c>
      <c r="F186">
        <v>0.01</v>
      </c>
    </row>
    <row r="187" spans="1:6" hidden="1" x14ac:dyDescent="0.25">
      <c r="A187" t="s">
        <v>160</v>
      </c>
      <c r="B187" t="s">
        <v>7</v>
      </c>
      <c r="C187" t="s">
        <v>196</v>
      </c>
      <c r="D187">
        <v>1000</v>
      </c>
      <c r="E187">
        <v>2152</v>
      </c>
      <c r="F187">
        <v>0.01</v>
      </c>
    </row>
    <row r="188" spans="1:6" hidden="1" x14ac:dyDescent="0.25">
      <c r="A188" t="s">
        <v>160</v>
      </c>
      <c r="B188" t="s">
        <v>7</v>
      </c>
      <c r="C188" t="s">
        <v>197</v>
      </c>
      <c r="D188">
        <v>300</v>
      </c>
      <c r="E188">
        <v>985</v>
      </c>
      <c r="F188">
        <v>0.01</v>
      </c>
    </row>
    <row r="189" spans="1:6" hidden="1" x14ac:dyDescent="0.25">
      <c r="A189" t="s">
        <v>160</v>
      </c>
      <c r="B189" t="s">
        <v>7</v>
      </c>
      <c r="C189" t="s">
        <v>198</v>
      </c>
      <c r="D189">
        <v>500</v>
      </c>
      <c r="E189">
        <v>1316</v>
      </c>
      <c r="F189">
        <v>0</v>
      </c>
    </row>
    <row r="190" spans="1:6" hidden="1" x14ac:dyDescent="0.25">
      <c r="A190" t="s">
        <v>160</v>
      </c>
      <c r="B190" t="s">
        <v>7</v>
      </c>
      <c r="C190" t="s">
        <v>199</v>
      </c>
      <c r="D190">
        <v>700</v>
      </c>
      <c r="E190">
        <v>1655</v>
      </c>
      <c r="F190">
        <v>0.01</v>
      </c>
    </row>
    <row r="191" spans="1:6" hidden="1" x14ac:dyDescent="0.25">
      <c r="A191" t="s">
        <v>160</v>
      </c>
      <c r="B191" t="s">
        <v>7</v>
      </c>
      <c r="C191" t="s">
        <v>200</v>
      </c>
      <c r="D191">
        <v>800</v>
      </c>
      <c r="E191">
        <v>1752</v>
      </c>
      <c r="F191">
        <v>0.01</v>
      </c>
    </row>
    <row r="192" spans="1:6" hidden="1" x14ac:dyDescent="0.25">
      <c r="A192" t="s">
        <v>160</v>
      </c>
      <c r="B192" t="s">
        <v>7</v>
      </c>
      <c r="C192" t="s">
        <v>201</v>
      </c>
      <c r="D192">
        <v>1000</v>
      </c>
      <c r="E192">
        <v>2092</v>
      </c>
      <c r="F192">
        <v>0.01</v>
      </c>
    </row>
    <row r="193" spans="1:6" hidden="1" x14ac:dyDescent="0.25">
      <c r="A193" t="s">
        <v>160</v>
      </c>
      <c r="B193" t="s">
        <v>7</v>
      </c>
      <c r="C193" t="s">
        <v>202</v>
      </c>
      <c r="D193">
        <v>300</v>
      </c>
      <c r="E193">
        <v>995</v>
      </c>
      <c r="F193">
        <v>0.01</v>
      </c>
    </row>
    <row r="194" spans="1:6" hidden="1" x14ac:dyDescent="0.25">
      <c r="A194" t="s">
        <v>160</v>
      </c>
      <c r="B194" t="s">
        <v>7</v>
      </c>
      <c r="C194" t="s">
        <v>203</v>
      </c>
      <c r="D194">
        <v>500</v>
      </c>
      <c r="E194">
        <v>1299</v>
      </c>
      <c r="F194">
        <v>0.01</v>
      </c>
    </row>
    <row r="195" spans="1:6" hidden="1" x14ac:dyDescent="0.25">
      <c r="A195" t="s">
        <v>160</v>
      </c>
      <c r="B195" t="s">
        <v>7</v>
      </c>
      <c r="C195" t="s">
        <v>204</v>
      </c>
      <c r="D195">
        <v>700</v>
      </c>
      <c r="E195">
        <v>1610</v>
      </c>
      <c r="F195">
        <v>0.01</v>
      </c>
    </row>
    <row r="196" spans="1:6" hidden="1" x14ac:dyDescent="0.25">
      <c r="A196" t="s">
        <v>160</v>
      </c>
      <c r="B196" t="s">
        <v>7</v>
      </c>
      <c r="C196" t="s">
        <v>205</v>
      </c>
      <c r="D196">
        <v>800</v>
      </c>
      <c r="E196">
        <v>1767</v>
      </c>
      <c r="F196">
        <v>0.01</v>
      </c>
    </row>
    <row r="197" spans="1:6" hidden="1" x14ac:dyDescent="0.25">
      <c r="A197" t="s">
        <v>160</v>
      </c>
      <c r="B197" t="s">
        <v>7</v>
      </c>
      <c r="C197" t="s">
        <v>206</v>
      </c>
      <c r="D197">
        <v>1000</v>
      </c>
      <c r="E197">
        <v>2041</v>
      </c>
      <c r="F197">
        <v>0.01</v>
      </c>
    </row>
    <row r="198" spans="1:6" hidden="1" x14ac:dyDescent="0.25">
      <c r="A198" t="s">
        <v>160</v>
      </c>
      <c r="B198" t="s">
        <v>7</v>
      </c>
      <c r="C198" t="s">
        <v>207</v>
      </c>
      <c r="D198">
        <v>300</v>
      </c>
      <c r="E198">
        <v>985</v>
      </c>
      <c r="F198">
        <v>0.01</v>
      </c>
    </row>
    <row r="199" spans="1:6" hidden="1" x14ac:dyDescent="0.25">
      <c r="A199" t="s">
        <v>160</v>
      </c>
      <c r="B199" t="s">
        <v>7</v>
      </c>
      <c r="C199" t="s">
        <v>208</v>
      </c>
      <c r="D199">
        <v>500</v>
      </c>
      <c r="E199">
        <v>1315</v>
      </c>
      <c r="F199">
        <v>0.01</v>
      </c>
    </row>
    <row r="200" spans="1:6" hidden="1" x14ac:dyDescent="0.25">
      <c r="A200" t="s">
        <v>160</v>
      </c>
      <c r="B200" t="s">
        <v>7</v>
      </c>
      <c r="C200" t="s">
        <v>209</v>
      </c>
      <c r="D200">
        <v>700</v>
      </c>
      <c r="E200">
        <v>1645</v>
      </c>
      <c r="F200">
        <v>0.01</v>
      </c>
    </row>
    <row r="201" spans="1:6" hidden="1" x14ac:dyDescent="0.25">
      <c r="A201" t="s">
        <v>160</v>
      </c>
      <c r="B201" t="s">
        <v>7</v>
      </c>
      <c r="C201" t="s">
        <v>210</v>
      </c>
      <c r="D201">
        <v>800</v>
      </c>
      <c r="E201">
        <v>1762</v>
      </c>
      <c r="F201">
        <v>0.01</v>
      </c>
    </row>
    <row r="202" spans="1:6" hidden="1" x14ac:dyDescent="0.25">
      <c r="A202" t="s">
        <v>160</v>
      </c>
      <c r="B202" t="s">
        <v>58</v>
      </c>
      <c r="C202" t="s">
        <v>211</v>
      </c>
      <c r="D202">
        <v>1000</v>
      </c>
      <c r="E202">
        <v>2122</v>
      </c>
      <c r="F202">
        <v>0.01</v>
      </c>
    </row>
    <row r="203" spans="1:6" hidden="1" x14ac:dyDescent="0.25">
      <c r="A203" t="s">
        <v>160</v>
      </c>
      <c r="B203" t="s">
        <v>58</v>
      </c>
      <c r="C203" t="s">
        <v>212</v>
      </c>
      <c r="D203">
        <v>300</v>
      </c>
      <c r="E203">
        <v>905</v>
      </c>
      <c r="F203">
        <v>0.01</v>
      </c>
    </row>
    <row r="204" spans="1:6" hidden="1" x14ac:dyDescent="0.25">
      <c r="A204" t="s">
        <v>160</v>
      </c>
      <c r="B204" t="s">
        <v>58</v>
      </c>
      <c r="C204" t="s">
        <v>213</v>
      </c>
      <c r="D204">
        <v>500</v>
      </c>
      <c r="E204">
        <v>1285</v>
      </c>
      <c r="F204">
        <v>0.01</v>
      </c>
    </row>
    <row r="205" spans="1:6" hidden="1" x14ac:dyDescent="0.25">
      <c r="A205" t="s">
        <v>160</v>
      </c>
      <c r="B205" t="s">
        <v>58</v>
      </c>
      <c r="C205" t="s">
        <v>214</v>
      </c>
      <c r="D205">
        <v>700</v>
      </c>
      <c r="E205">
        <v>1605</v>
      </c>
      <c r="F205">
        <v>0.01</v>
      </c>
    </row>
    <row r="206" spans="1:6" hidden="1" x14ac:dyDescent="0.25">
      <c r="A206" t="s">
        <v>160</v>
      </c>
      <c r="B206" t="s">
        <v>58</v>
      </c>
      <c r="C206" t="s">
        <v>215</v>
      </c>
      <c r="D206">
        <v>800</v>
      </c>
      <c r="E206">
        <v>1812</v>
      </c>
      <c r="F206">
        <v>0.01</v>
      </c>
    </row>
    <row r="207" spans="1:6" hidden="1" x14ac:dyDescent="0.25">
      <c r="A207" t="s">
        <v>160</v>
      </c>
      <c r="B207" t="s">
        <v>58</v>
      </c>
      <c r="C207" t="s">
        <v>216</v>
      </c>
      <c r="D207">
        <v>1000</v>
      </c>
      <c r="E207">
        <v>2082</v>
      </c>
      <c r="F207">
        <v>0.01</v>
      </c>
    </row>
    <row r="208" spans="1:6" hidden="1" x14ac:dyDescent="0.25">
      <c r="A208" t="s">
        <v>160</v>
      </c>
      <c r="B208" t="s">
        <v>58</v>
      </c>
      <c r="C208" t="s">
        <v>217</v>
      </c>
      <c r="D208">
        <v>300</v>
      </c>
      <c r="E208">
        <v>995</v>
      </c>
      <c r="F208">
        <v>0</v>
      </c>
    </row>
    <row r="209" spans="1:6" hidden="1" x14ac:dyDescent="0.25">
      <c r="A209" t="s">
        <v>160</v>
      </c>
      <c r="B209" t="s">
        <v>58</v>
      </c>
      <c r="C209" t="s">
        <v>218</v>
      </c>
      <c r="D209">
        <v>500</v>
      </c>
      <c r="E209">
        <v>1335</v>
      </c>
      <c r="F209">
        <v>0.01</v>
      </c>
    </row>
    <row r="210" spans="1:6" hidden="1" x14ac:dyDescent="0.25">
      <c r="A210" t="s">
        <v>160</v>
      </c>
      <c r="B210" t="s">
        <v>58</v>
      </c>
      <c r="C210" t="s">
        <v>219</v>
      </c>
      <c r="D210">
        <v>700</v>
      </c>
      <c r="E210">
        <v>1625</v>
      </c>
      <c r="F210">
        <v>0.01</v>
      </c>
    </row>
    <row r="211" spans="1:6" hidden="1" x14ac:dyDescent="0.25">
      <c r="A211" t="s">
        <v>160</v>
      </c>
      <c r="B211" t="s">
        <v>58</v>
      </c>
      <c r="C211" t="s">
        <v>220</v>
      </c>
      <c r="D211">
        <v>800</v>
      </c>
      <c r="E211">
        <v>1812</v>
      </c>
      <c r="F211">
        <v>0.01</v>
      </c>
    </row>
    <row r="212" spans="1:6" hidden="1" x14ac:dyDescent="0.25">
      <c r="A212" t="s">
        <v>160</v>
      </c>
      <c r="B212" t="s">
        <v>58</v>
      </c>
      <c r="C212" t="s">
        <v>221</v>
      </c>
      <c r="D212">
        <v>1000</v>
      </c>
      <c r="E212">
        <v>2062</v>
      </c>
      <c r="F212">
        <v>0.01</v>
      </c>
    </row>
    <row r="213" spans="1:6" hidden="1" x14ac:dyDescent="0.25">
      <c r="A213" t="s">
        <v>160</v>
      </c>
      <c r="B213" t="s">
        <v>58</v>
      </c>
      <c r="C213" t="s">
        <v>222</v>
      </c>
      <c r="D213">
        <v>300</v>
      </c>
      <c r="E213">
        <v>945</v>
      </c>
      <c r="F213">
        <v>0</v>
      </c>
    </row>
    <row r="214" spans="1:6" hidden="1" x14ac:dyDescent="0.25">
      <c r="A214" t="s">
        <v>160</v>
      </c>
      <c r="B214" t="s">
        <v>58</v>
      </c>
      <c r="C214" t="s">
        <v>223</v>
      </c>
      <c r="D214">
        <v>500</v>
      </c>
      <c r="E214">
        <v>1325</v>
      </c>
      <c r="F214">
        <v>0</v>
      </c>
    </row>
    <row r="215" spans="1:6" hidden="1" x14ac:dyDescent="0.25">
      <c r="A215" t="s">
        <v>160</v>
      </c>
      <c r="B215" t="s">
        <v>58</v>
      </c>
      <c r="C215" t="s">
        <v>224</v>
      </c>
      <c r="D215">
        <v>700</v>
      </c>
      <c r="E215">
        <v>1665</v>
      </c>
      <c r="F215">
        <v>0.01</v>
      </c>
    </row>
    <row r="216" spans="1:6" hidden="1" x14ac:dyDescent="0.25">
      <c r="A216" t="s">
        <v>160</v>
      </c>
      <c r="B216" t="s">
        <v>58</v>
      </c>
      <c r="C216" t="s">
        <v>225</v>
      </c>
      <c r="D216">
        <v>800</v>
      </c>
      <c r="E216">
        <v>1712</v>
      </c>
      <c r="F216">
        <v>0.01</v>
      </c>
    </row>
    <row r="217" spans="1:6" hidden="1" x14ac:dyDescent="0.25">
      <c r="A217" t="s">
        <v>160</v>
      </c>
      <c r="B217" t="s">
        <v>58</v>
      </c>
      <c r="C217" t="s">
        <v>226</v>
      </c>
      <c r="D217">
        <v>1000</v>
      </c>
      <c r="E217">
        <v>2132</v>
      </c>
      <c r="F217">
        <v>0.01</v>
      </c>
    </row>
    <row r="218" spans="1:6" hidden="1" x14ac:dyDescent="0.25">
      <c r="A218" t="s">
        <v>160</v>
      </c>
      <c r="B218" t="s">
        <v>58</v>
      </c>
      <c r="C218" t="s">
        <v>227</v>
      </c>
      <c r="D218">
        <v>300</v>
      </c>
      <c r="E218">
        <v>945</v>
      </c>
      <c r="F218">
        <v>0.01</v>
      </c>
    </row>
    <row r="219" spans="1:6" hidden="1" x14ac:dyDescent="0.25">
      <c r="A219" t="s">
        <v>160</v>
      </c>
      <c r="B219" t="s">
        <v>58</v>
      </c>
      <c r="C219" t="s">
        <v>228</v>
      </c>
      <c r="D219">
        <v>500</v>
      </c>
      <c r="E219">
        <v>1325</v>
      </c>
      <c r="F219">
        <v>0</v>
      </c>
    </row>
    <row r="220" spans="1:6" hidden="1" x14ac:dyDescent="0.25">
      <c r="A220" t="s">
        <v>160</v>
      </c>
      <c r="B220" t="s">
        <v>58</v>
      </c>
      <c r="C220" t="s">
        <v>229</v>
      </c>
      <c r="D220">
        <v>700</v>
      </c>
      <c r="E220">
        <v>1665</v>
      </c>
      <c r="F220">
        <v>0.01</v>
      </c>
    </row>
    <row r="221" spans="1:6" hidden="1" x14ac:dyDescent="0.25">
      <c r="A221" t="s">
        <v>160</v>
      </c>
      <c r="B221" t="s">
        <v>58</v>
      </c>
      <c r="C221" t="s">
        <v>230</v>
      </c>
      <c r="D221">
        <v>800</v>
      </c>
      <c r="E221">
        <v>1802</v>
      </c>
      <c r="F221">
        <v>0.01</v>
      </c>
    </row>
    <row r="222" spans="1:6" hidden="1" x14ac:dyDescent="0.25">
      <c r="A222" t="s">
        <v>160</v>
      </c>
      <c r="B222" t="s">
        <v>58</v>
      </c>
      <c r="C222" t="s">
        <v>231</v>
      </c>
      <c r="D222">
        <v>1000</v>
      </c>
      <c r="E222">
        <v>2242</v>
      </c>
      <c r="F222">
        <v>0.01</v>
      </c>
    </row>
    <row r="223" spans="1:6" hidden="1" x14ac:dyDescent="0.25">
      <c r="A223" t="s">
        <v>160</v>
      </c>
      <c r="B223" t="s">
        <v>58</v>
      </c>
      <c r="C223" t="s">
        <v>232</v>
      </c>
      <c r="D223">
        <v>300</v>
      </c>
      <c r="E223">
        <v>965</v>
      </c>
      <c r="F223">
        <v>0.01</v>
      </c>
    </row>
    <row r="224" spans="1:6" hidden="1" x14ac:dyDescent="0.25">
      <c r="A224" t="s">
        <v>160</v>
      </c>
      <c r="B224" t="s">
        <v>58</v>
      </c>
      <c r="C224" t="s">
        <v>233</v>
      </c>
      <c r="D224">
        <v>500</v>
      </c>
      <c r="E224">
        <v>1375</v>
      </c>
      <c r="F224">
        <v>0.01</v>
      </c>
    </row>
    <row r="225" spans="1:6" hidden="1" x14ac:dyDescent="0.25">
      <c r="A225" t="s">
        <v>160</v>
      </c>
      <c r="B225" t="s">
        <v>58</v>
      </c>
      <c r="C225" t="s">
        <v>234</v>
      </c>
      <c r="D225">
        <v>700</v>
      </c>
      <c r="E225">
        <v>1595</v>
      </c>
      <c r="F225">
        <v>0.01</v>
      </c>
    </row>
    <row r="226" spans="1:6" hidden="1" x14ac:dyDescent="0.25">
      <c r="A226" t="s">
        <v>160</v>
      </c>
      <c r="B226" t="s">
        <v>58</v>
      </c>
      <c r="C226" t="s">
        <v>235</v>
      </c>
      <c r="D226">
        <v>800</v>
      </c>
      <c r="E226">
        <v>1782</v>
      </c>
      <c r="F226">
        <v>0.01</v>
      </c>
    </row>
    <row r="227" spans="1:6" hidden="1" x14ac:dyDescent="0.25">
      <c r="A227" t="s">
        <v>160</v>
      </c>
      <c r="B227" t="s">
        <v>58</v>
      </c>
      <c r="C227" t="s">
        <v>236</v>
      </c>
      <c r="D227">
        <v>1000</v>
      </c>
      <c r="E227">
        <v>2132</v>
      </c>
      <c r="F227">
        <v>0.01</v>
      </c>
    </row>
    <row r="228" spans="1:6" hidden="1" x14ac:dyDescent="0.25">
      <c r="A228" t="s">
        <v>160</v>
      </c>
      <c r="B228" t="s">
        <v>58</v>
      </c>
      <c r="C228" t="s">
        <v>237</v>
      </c>
      <c r="D228">
        <v>300</v>
      </c>
      <c r="E228">
        <v>985</v>
      </c>
      <c r="F228">
        <v>0</v>
      </c>
    </row>
    <row r="229" spans="1:6" hidden="1" x14ac:dyDescent="0.25">
      <c r="A229" t="s">
        <v>160</v>
      </c>
      <c r="B229" t="s">
        <v>58</v>
      </c>
      <c r="C229" t="s">
        <v>238</v>
      </c>
      <c r="D229">
        <v>500</v>
      </c>
      <c r="E229">
        <v>1285</v>
      </c>
      <c r="F229">
        <v>0.01</v>
      </c>
    </row>
    <row r="230" spans="1:6" hidden="1" x14ac:dyDescent="0.25">
      <c r="A230" t="s">
        <v>160</v>
      </c>
      <c r="B230" t="s">
        <v>58</v>
      </c>
      <c r="C230" t="s">
        <v>239</v>
      </c>
      <c r="D230">
        <v>700</v>
      </c>
      <c r="E230">
        <v>1655</v>
      </c>
      <c r="F230">
        <v>0.01</v>
      </c>
    </row>
    <row r="231" spans="1:6" hidden="1" x14ac:dyDescent="0.25">
      <c r="A231" t="s">
        <v>160</v>
      </c>
      <c r="B231" t="s">
        <v>58</v>
      </c>
      <c r="C231" t="s">
        <v>240</v>
      </c>
      <c r="D231">
        <v>800</v>
      </c>
      <c r="E231">
        <v>1732</v>
      </c>
      <c r="F231">
        <v>0.01</v>
      </c>
    </row>
    <row r="232" spans="1:6" hidden="1" x14ac:dyDescent="0.25">
      <c r="A232" t="s">
        <v>160</v>
      </c>
      <c r="B232" t="s">
        <v>58</v>
      </c>
      <c r="C232" t="s">
        <v>241</v>
      </c>
      <c r="D232">
        <v>1000</v>
      </c>
      <c r="E232">
        <v>2122</v>
      </c>
      <c r="F232">
        <v>0.01</v>
      </c>
    </row>
    <row r="233" spans="1:6" hidden="1" x14ac:dyDescent="0.25">
      <c r="A233" t="s">
        <v>160</v>
      </c>
      <c r="B233" t="s">
        <v>58</v>
      </c>
      <c r="C233" t="s">
        <v>242</v>
      </c>
      <c r="D233">
        <v>300</v>
      </c>
      <c r="E233">
        <v>945</v>
      </c>
      <c r="F233">
        <v>0</v>
      </c>
    </row>
    <row r="234" spans="1:6" hidden="1" x14ac:dyDescent="0.25">
      <c r="A234" t="s">
        <v>160</v>
      </c>
      <c r="B234" t="s">
        <v>58</v>
      </c>
      <c r="C234" t="s">
        <v>243</v>
      </c>
      <c r="D234">
        <v>500</v>
      </c>
      <c r="E234">
        <v>1275</v>
      </c>
      <c r="F234">
        <v>0.01</v>
      </c>
    </row>
    <row r="235" spans="1:6" hidden="1" x14ac:dyDescent="0.25">
      <c r="A235" t="s">
        <v>160</v>
      </c>
      <c r="B235" t="s">
        <v>58</v>
      </c>
      <c r="C235" t="s">
        <v>244</v>
      </c>
      <c r="D235">
        <v>700</v>
      </c>
      <c r="E235">
        <v>1635</v>
      </c>
      <c r="F235">
        <v>0.01</v>
      </c>
    </row>
    <row r="236" spans="1:6" hidden="1" x14ac:dyDescent="0.25">
      <c r="A236" t="s">
        <v>160</v>
      </c>
      <c r="B236" t="s">
        <v>58</v>
      </c>
      <c r="C236" t="s">
        <v>245</v>
      </c>
      <c r="D236">
        <v>800</v>
      </c>
      <c r="E236">
        <v>1802</v>
      </c>
      <c r="F236">
        <v>0.01</v>
      </c>
    </row>
    <row r="237" spans="1:6" hidden="1" x14ac:dyDescent="0.25">
      <c r="A237" t="s">
        <v>160</v>
      </c>
      <c r="B237" t="s">
        <v>58</v>
      </c>
      <c r="C237" t="s">
        <v>246</v>
      </c>
      <c r="D237">
        <v>1000</v>
      </c>
      <c r="E237">
        <v>2172</v>
      </c>
      <c r="F237">
        <v>0.01</v>
      </c>
    </row>
    <row r="238" spans="1:6" hidden="1" x14ac:dyDescent="0.25">
      <c r="A238" t="s">
        <v>160</v>
      </c>
      <c r="B238" t="s">
        <v>58</v>
      </c>
      <c r="C238" t="s">
        <v>247</v>
      </c>
      <c r="D238">
        <v>300</v>
      </c>
      <c r="E238">
        <v>965</v>
      </c>
      <c r="F238">
        <v>0.01</v>
      </c>
    </row>
    <row r="239" spans="1:6" hidden="1" x14ac:dyDescent="0.25">
      <c r="A239" t="s">
        <v>160</v>
      </c>
      <c r="B239" t="s">
        <v>58</v>
      </c>
      <c r="C239" t="s">
        <v>248</v>
      </c>
      <c r="D239">
        <v>500</v>
      </c>
      <c r="E239">
        <v>1385</v>
      </c>
      <c r="F239">
        <v>0.01</v>
      </c>
    </row>
    <row r="240" spans="1:6" hidden="1" x14ac:dyDescent="0.25">
      <c r="A240" t="s">
        <v>160</v>
      </c>
      <c r="B240" t="s">
        <v>58</v>
      </c>
      <c r="C240" t="s">
        <v>249</v>
      </c>
      <c r="D240">
        <v>700</v>
      </c>
      <c r="E240">
        <v>1705</v>
      </c>
      <c r="F240">
        <v>0.01</v>
      </c>
    </row>
    <row r="241" spans="1:6" hidden="1" x14ac:dyDescent="0.25">
      <c r="A241" t="s">
        <v>160</v>
      </c>
      <c r="B241" t="s">
        <v>58</v>
      </c>
      <c r="C241" t="s">
        <v>250</v>
      </c>
      <c r="D241">
        <v>800</v>
      </c>
      <c r="E241">
        <v>1762</v>
      </c>
      <c r="F241">
        <v>0.01</v>
      </c>
    </row>
    <row r="242" spans="1:6" hidden="1" x14ac:dyDescent="0.25">
      <c r="A242" t="s">
        <v>160</v>
      </c>
      <c r="B242" t="s">
        <v>58</v>
      </c>
      <c r="C242" t="s">
        <v>251</v>
      </c>
      <c r="D242">
        <v>1000</v>
      </c>
      <c r="E242">
        <v>2112</v>
      </c>
      <c r="F242">
        <v>0.01</v>
      </c>
    </row>
    <row r="243" spans="1:6" hidden="1" x14ac:dyDescent="0.25">
      <c r="A243" t="s">
        <v>160</v>
      </c>
      <c r="B243" t="s">
        <v>58</v>
      </c>
      <c r="C243" t="s">
        <v>252</v>
      </c>
      <c r="D243">
        <v>300</v>
      </c>
      <c r="E243">
        <v>945</v>
      </c>
      <c r="F243">
        <v>0.01</v>
      </c>
    </row>
    <row r="244" spans="1:6" hidden="1" x14ac:dyDescent="0.25">
      <c r="A244" t="s">
        <v>160</v>
      </c>
      <c r="B244" t="s">
        <v>58</v>
      </c>
      <c r="C244" t="s">
        <v>253</v>
      </c>
      <c r="D244">
        <v>500</v>
      </c>
      <c r="E244">
        <v>1265</v>
      </c>
      <c r="F244">
        <v>0</v>
      </c>
    </row>
    <row r="245" spans="1:6" hidden="1" x14ac:dyDescent="0.25">
      <c r="A245" t="s">
        <v>160</v>
      </c>
      <c r="B245" t="s">
        <v>58</v>
      </c>
      <c r="C245" t="s">
        <v>254</v>
      </c>
      <c r="D245">
        <v>700</v>
      </c>
      <c r="E245">
        <v>1685</v>
      </c>
      <c r="F245">
        <v>0.01</v>
      </c>
    </row>
    <row r="246" spans="1:6" hidden="1" x14ac:dyDescent="0.25">
      <c r="A246" t="s">
        <v>160</v>
      </c>
      <c r="B246" t="s">
        <v>58</v>
      </c>
      <c r="C246" t="s">
        <v>255</v>
      </c>
      <c r="D246">
        <v>800</v>
      </c>
      <c r="E246">
        <v>1782</v>
      </c>
      <c r="F246">
        <v>0.01</v>
      </c>
    </row>
    <row r="247" spans="1:6" hidden="1" x14ac:dyDescent="0.25">
      <c r="A247" t="s">
        <v>160</v>
      </c>
      <c r="B247" t="s">
        <v>58</v>
      </c>
      <c r="C247" t="s">
        <v>256</v>
      </c>
      <c r="D247">
        <v>1000</v>
      </c>
      <c r="E247">
        <v>2112</v>
      </c>
      <c r="F247">
        <v>0.01</v>
      </c>
    </row>
    <row r="248" spans="1:6" hidden="1" x14ac:dyDescent="0.25">
      <c r="A248" t="s">
        <v>160</v>
      </c>
      <c r="B248" t="s">
        <v>58</v>
      </c>
      <c r="C248" t="s">
        <v>257</v>
      </c>
      <c r="D248">
        <v>300</v>
      </c>
      <c r="E248">
        <v>915</v>
      </c>
      <c r="F248">
        <v>0</v>
      </c>
    </row>
    <row r="249" spans="1:6" hidden="1" x14ac:dyDescent="0.25">
      <c r="A249" t="s">
        <v>160</v>
      </c>
      <c r="B249" t="s">
        <v>58</v>
      </c>
      <c r="C249" t="s">
        <v>258</v>
      </c>
      <c r="D249">
        <v>500</v>
      </c>
      <c r="E249">
        <v>1265</v>
      </c>
      <c r="F249">
        <v>0.01</v>
      </c>
    </row>
    <row r="250" spans="1:6" hidden="1" x14ac:dyDescent="0.25">
      <c r="A250" t="s">
        <v>160</v>
      </c>
      <c r="B250" t="s">
        <v>58</v>
      </c>
      <c r="C250" t="s">
        <v>259</v>
      </c>
      <c r="D250">
        <v>700</v>
      </c>
      <c r="E250">
        <v>1635</v>
      </c>
      <c r="F250">
        <v>0</v>
      </c>
    </row>
    <row r="251" spans="1:6" hidden="1" x14ac:dyDescent="0.25">
      <c r="A251" t="s">
        <v>160</v>
      </c>
      <c r="B251" t="s">
        <v>58</v>
      </c>
      <c r="C251" t="s">
        <v>260</v>
      </c>
      <c r="D251">
        <v>800</v>
      </c>
      <c r="E251">
        <v>1812</v>
      </c>
      <c r="F251">
        <v>0.01</v>
      </c>
    </row>
    <row r="252" spans="1:6" hidden="1" x14ac:dyDescent="0.25">
      <c r="A252" t="s">
        <v>160</v>
      </c>
      <c r="B252" t="s">
        <v>109</v>
      </c>
      <c r="C252" t="s">
        <v>261</v>
      </c>
      <c r="D252">
        <v>1000</v>
      </c>
      <c r="E252">
        <v>1618</v>
      </c>
      <c r="F252">
        <v>0.01</v>
      </c>
    </row>
    <row r="253" spans="1:6" hidden="1" x14ac:dyDescent="0.25">
      <c r="A253" t="s">
        <v>160</v>
      </c>
      <c r="B253" t="s">
        <v>109</v>
      </c>
      <c r="C253" t="s">
        <v>262</v>
      </c>
      <c r="D253">
        <v>300</v>
      </c>
      <c r="E253">
        <v>1220</v>
      </c>
      <c r="F253">
        <v>0.01</v>
      </c>
    </row>
    <row r="254" spans="1:6" hidden="1" x14ac:dyDescent="0.25">
      <c r="A254" t="s">
        <v>160</v>
      </c>
      <c r="B254" t="s">
        <v>109</v>
      </c>
      <c r="C254" t="s">
        <v>263</v>
      </c>
      <c r="D254">
        <v>500</v>
      </c>
      <c r="E254">
        <v>1479</v>
      </c>
      <c r="F254">
        <v>0.01</v>
      </c>
    </row>
    <row r="255" spans="1:6" hidden="1" x14ac:dyDescent="0.25">
      <c r="A255" t="s">
        <v>160</v>
      </c>
      <c r="B255" t="s">
        <v>109</v>
      </c>
      <c r="C255" t="s">
        <v>264</v>
      </c>
      <c r="D255">
        <v>700</v>
      </c>
      <c r="E255">
        <v>1638</v>
      </c>
      <c r="F255">
        <v>0</v>
      </c>
    </row>
    <row r="256" spans="1:6" hidden="1" x14ac:dyDescent="0.25">
      <c r="A256" t="s">
        <v>160</v>
      </c>
      <c r="B256" t="s">
        <v>109</v>
      </c>
      <c r="C256" t="s">
        <v>265</v>
      </c>
      <c r="D256">
        <v>800</v>
      </c>
      <c r="E256">
        <v>1501</v>
      </c>
      <c r="F256">
        <v>0.01</v>
      </c>
    </row>
    <row r="257" spans="1:6" hidden="1" x14ac:dyDescent="0.25">
      <c r="A257" t="s">
        <v>160</v>
      </c>
      <c r="B257" t="s">
        <v>109</v>
      </c>
      <c r="C257" t="s">
        <v>266</v>
      </c>
      <c r="D257">
        <v>1000</v>
      </c>
      <c r="E257">
        <v>1536</v>
      </c>
      <c r="F257">
        <v>0.01</v>
      </c>
    </row>
    <row r="258" spans="1:6" hidden="1" x14ac:dyDescent="0.25">
      <c r="A258" t="s">
        <v>160</v>
      </c>
      <c r="B258" t="s">
        <v>109</v>
      </c>
      <c r="C258" t="s">
        <v>267</v>
      </c>
      <c r="D258">
        <v>300</v>
      </c>
      <c r="E258">
        <v>1160</v>
      </c>
      <c r="F258">
        <v>0.01</v>
      </c>
    </row>
    <row r="259" spans="1:6" hidden="1" x14ac:dyDescent="0.25">
      <c r="A259" t="s">
        <v>160</v>
      </c>
      <c r="B259" t="s">
        <v>109</v>
      </c>
      <c r="C259" t="s">
        <v>268</v>
      </c>
      <c r="D259">
        <v>500</v>
      </c>
      <c r="E259">
        <v>1454</v>
      </c>
      <c r="F259">
        <v>0.01</v>
      </c>
    </row>
    <row r="260" spans="1:6" hidden="1" x14ac:dyDescent="0.25">
      <c r="A260" t="s">
        <v>160</v>
      </c>
      <c r="B260" t="s">
        <v>109</v>
      </c>
      <c r="C260" t="s">
        <v>269</v>
      </c>
      <c r="D260">
        <v>700</v>
      </c>
      <c r="E260">
        <v>1731</v>
      </c>
      <c r="F260">
        <v>0.01</v>
      </c>
    </row>
    <row r="261" spans="1:6" hidden="1" x14ac:dyDescent="0.25">
      <c r="A261" t="s">
        <v>160</v>
      </c>
      <c r="B261" t="s">
        <v>109</v>
      </c>
      <c r="C261" t="s">
        <v>270</v>
      </c>
      <c r="D261">
        <v>800</v>
      </c>
      <c r="E261">
        <v>1457</v>
      </c>
      <c r="F261">
        <v>0.01</v>
      </c>
    </row>
    <row r="262" spans="1:6" hidden="1" x14ac:dyDescent="0.25">
      <c r="A262" t="s">
        <v>160</v>
      </c>
      <c r="B262" t="s">
        <v>109</v>
      </c>
      <c r="C262" t="s">
        <v>271</v>
      </c>
      <c r="D262">
        <v>1000</v>
      </c>
      <c r="E262">
        <v>1487</v>
      </c>
      <c r="F262">
        <v>0</v>
      </c>
    </row>
    <row r="263" spans="1:6" hidden="1" x14ac:dyDescent="0.25">
      <c r="A263" t="s">
        <v>160</v>
      </c>
      <c r="B263" t="s">
        <v>109</v>
      </c>
      <c r="C263" t="s">
        <v>272</v>
      </c>
      <c r="D263">
        <v>300</v>
      </c>
      <c r="E263">
        <v>1285</v>
      </c>
      <c r="F263">
        <v>0.01</v>
      </c>
    </row>
    <row r="264" spans="1:6" hidden="1" x14ac:dyDescent="0.25">
      <c r="A264" t="s">
        <v>160</v>
      </c>
      <c r="B264" t="s">
        <v>109</v>
      </c>
      <c r="C264" t="s">
        <v>273</v>
      </c>
      <c r="D264">
        <v>500</v>
      </c>
      <c r="E264">
        <v>1399</v>
      </c>
      <c r="F264">
        <v>0.01</v>
      </c>
    </row>
    <row r="265" spans="1:6" hidden="1" x14ac:dyDescent="0.25">
      <c r="A265" t="s">
        <v>160</v>
      </c>
      <c r="B265" t="s">
        <v>109</v>
      </c>
      <c r="C265" t="s">
        <v>274</v>
      </c>
      <c r="D265">
        <v>700</v>
      </c>
      <c r="E265">
        <v>1518</v>
      </c>
      <c r="F265">
        <v>0</v>
      </c>
    </row>
    <row r="266" spans="1:6" hidden="1" x14ac:dyDescent="0.25">
      <c r="A266" t="s">
        <v>160</v>
      </c>
      <c r="B266" t="s">
        <v>109</v>
      </c>
      <c r="C266" t="s">
        <v>275</v>
      </c>
      <c r="D266">
        <v>800</v>
      </c>
      <c r="E266">
        <v>1610</v>
      </c>
      <c r="F266">
        <v>0.01</v>
      </c>
    </row>
    <row r="267" spans="1:6" hidden="1" x14ac:dyDescent="0.25">
      <c r="A267" t="s">
        <v>160</v>
      </c>
      <c r="B267" t="s">
        <v>109</v>
      </c>
      <c r="C267" t="s">
        <v>276</v>
      </c>
      <c r="D267">
        <v>1000</v>
      </c>
      <c r="E267">
        <v>1464</v>
      </c>
      <c r="F267">
        <v>0.01</v>
      </c>
    </row>
    <row r="268" spans="1:6" hidden="1" x14ac:dyDescent="0.25">
      <c r="A268" t="s">
        <v>160</v>
      </c>
      <c r="B268" t="s">
        <v>109</v>
      </c>
      <c r="C268" t="s">
        <v>277</v>
      </c>
      <c r="D268">
        <v>300</v>
      </c>
      <c r="E268">
        <v>1197</v>
      </c>
      <c r="F268">
        <v>0</v>
      </c>
    </row>
    <row r="269" spans="1:6" hidden="1" x14ac:dyDescent="0.25">
      <c r="A269" t="s">
        <v>160</v>
      </c>
      <c r="B269" t="s">
        <v>109</v>
      </c>
      <c r="C269" t="s">
        <v>278</v>
      </c>
      <c r="D269">
        <v>500</v>
      </c>
      <c r="E269">
        <v>1377</v>
      </c>
      <c r="F269">
        <v>0</v>
      </c>
    </row>
    <row r="270" spans="1:6" hidden="1" x14ac:dyDescent="0.25">
      <c r="A270" t="s">
        <v>160</v>
      </c>
      <c r="B270" t="s">
        <v>109</v>
      </c>
      <c r="C270" t="s">
        <v>279</v>
      </c>
      <c r="D270">
        <v>700</v>
      </c>
      <c r="E270">
        <v>1530</v>
      </c>
      <c r="F270">
        <v>0.01</v>
      </c>
    </row>
    <row r="271" spans="1:6" hidden="1" x14ac:dyDescent="0.25">
      <c r="A271" t="s">
        <v>160</v>
      </c>
      <c r="B271" t="s">
        <v>109</v>
      </c>
      <c r="C271" t="s">
        <v>280</v>
      </c>
      <c r="D271">
        <v>800</v>
      </c>
      <c r="E271">
        <v>1663</v>
      </c>
      <c r="F271">
        <v>0.01</v>
      </c>
    </row>
    <row r="272" spans="1:6" hidden="1" x14ac:dyDescent="0.25">
      <c r="A272" t="s">
        <v>160</v>
      </c>
      <c r="B272" t="s">
        <v>109</v>
      </c>
      <c r="C272" t="s">
        <v>281</v>
      </c>
      <c r="D272">
        <v>1000</v>
      </c>
      <c r="E272">
        <v>1740</v>
      </c>
      <c r="F272">
        <v>0.01</v>
      </c>
    </row>
    <row r="273" spans="1:6" hidden="1" x14ac:dyDescent="0.25">
      <c r="A273" t="s">
        <v>160</v>
      </c>
      <c r="B273" t="s">
        <v>109</v>
      </c>
      <c r="C273" t="s">
        <v>282</v>
      </c>
      <c r="D273">
        <v>300</v>
      </c>
      <c r="E273">
        <v>1320</v>
      </c>
      <c r="F273">
        <v>0.01</v>
      </c>
    </row>
    <row r="274" spans="1:6" hidden="1" x14ac:dyDescent="0.25">
      <c r="A274" t="s">
        <v>160</v>
      </c>
      <c r="B274" t="s">
        <v>109</v>
      </c>
      <c r="C274" t="s">
        <v>283</v>
      </c>
      <c r="D274">
        <v>500</v>
      </c>
      <c r="E274">
        <v>1462</v>
      </c>
      <c r="F274">
        <v>0.01</v>
      </c>
    </row>
    <row r="275" spans="1:6" hidden="1" x14ac:dyDescent="0.25">
      <c r="A275" t="s">
        <v>160</v>
      </c>
      <c r="B275" t="s">
        <v>109</v>
      </c>
      <c r="C275" t="s">
        <v>284</v>
      </c>
      <c r="D275">
        <v>700</v>
      </c>
      <c r="E275">
        <v>1480</v>
      </c>
      <c r="F275">
        <v>0.01</v>
      </c>
    </row>
    <row r="276" spans="1:6" hidden="1" x14ac:dyDescent="0.25">
      <c r="A276" t="s">
        <v>160</v>
      </c>
      <c r="B276" t="s">
        <v>109</v>
      </c>
      <c r="C276" t="s">
        <v>285</v>
      </c>
      <c r="D276">
        <v>800</v>
      </c>
      <c r="E276">
        <v>1459</v>
      </c>
      <c r="F276">
        <v>0</v>
      </c>
    </row>
    <row r="277" spans="1:6" hidden="1" x14ac:dyDescent="0.25">
      <c r="A277" t="s">
        <v>160</v>
      </c>
      <c r="B277" t="s">
        <v>109</v>
      </c>
      <c r="C277" t="s">
        <v>286</v>
      </c>
      <c r="D277">
        <v>1000</v>
      </c>
      <c r="E277">
        <v>1518</v>
      </c>
      <c r="F277">
        <v>0.01</v>
      </c>
    </row>
    <row r="278" spans="1:6" hidden="1" x14ac:dyDescent="0.25">
      <c r="A278" t="s">
        <v>160</v>
      </c>
      <c r="B278" t="s">
        <v>109</v>
      </c>
      <c r="C278" t="s">
        <v>287</v>
      </c>
      <c r="D278">
        <v>300</v>
      </c>
      <c r="E278">
        <v>1276</v>
      </c>
      <c r="F278">
        <v>0.01</v>
      </c>
    </row>
    <row r="279" spans="1:6" hidden="1" x14ac:dyDescent="0.25">
      <c r="A279" t="s">
        <v>160</v>
      </c>
      <c r="B279" t="s">
        <v>109</v>
      </c>
      <c r="C279" t="s">
        <v>288</v>
      </c>
      <c r="D279">
        <v>500</v>
      </c>
      <c r="E279">
        <v>1527</v>
      </c>
      <c r="F279">
        <v>0.01</v>
      </c>
    </row>
    <row r="280" spans="1:6" hidden="1" x14ac:dyDescent="0.25">
      <c r="A280" t="s">
        <v>160</v>
      </c>
      <c r="B280" t="s">
        <v>109</v>
      </c>
      <c r="C280" t="s">
        <v>289</v>
      </c>
      <c r="D280">
        <v>700</v>
      </c>
      <c r="E280">
        <v>1475</v>
      </c>
      <c r="F280">
        <v>0</v>
      </c>
    </row>
    <row r="281" spans="1:6" hidden="1" x14ac:dyDescent="0.25">
      <c r="A281" t="s">
        <v>160</v>
      </c>
      <c r="B281" t="s">
        <v>109</v>
      </c>
      <c r="C281" t="s">
        <v>290</v>
      </c>
      <c r="D281">
        <v>800</v>
      </c>
      <c r="E281">
        <v>1596</v>
      </c>
      <c r="F281">
        <v>0.01</v>
      </c>
    </row>
    <row r="282" spans="1:6" hidden="1" x14ac:dyDescent="0.25">
      <c r="A282" t="s">
        <v>160</v>
      </c>
      <c r="B282" t="s">
        <v>109</v>
      </c>
      <c r="C282" t="s">
        <v>291</v>
      </c>
      <c r="D282">
        <v>1000</v>
      </c>
      <c r="E282">
        <v>1612</v>
      </c>
      <c r="F282">
        <v>0.01</v>
      </c>
    </row>
    <row r="283" spans="1:6" hidden="1" x14ac:dyDescent="0.25">
      <c r="A283" t="s">
        <v>160</v>
      </c>
      <c r="B283" t="s">
        <v>109</v>
      </c>
      <c r="C283" t="s">
        <v>292</v>
      </c>
      <c r="D283">
        <v>300</v>
      </c>
      <c r="E283">
        <v>1286</v>
      </c>
      <c r="F283">
        <v>0.01</v>
      </c>
    </row>
    <row r="284" spans="1:6" hidden="1" x14ac:dyDescent="0.25">
      <c r="A284" t="s">
        <v>160</v>
      </c>
      <c r="B284" t="s">
        <v>109</v>
      </c>
      <c r="C284" t="s">
        <v>293</v>
      </c>
      <c r="D284">
        <v>500</v>
      </c>
      <c r="E284">
        <v>1558</v>
      </c>
      <c r="F284">
        <v>0.01</v>
      </c>
    </row>
    <row r="285" spans="1:6" hidden="1" x14ac:dyDescent="0.25">
      <c r="A285" t="s">
        <v>160</v>
      </c>
      <c r="B285" t="s">
        <v>109</v>
      </c>
      <c r="C285" t="s">
        <v>294</v>
      </c>
      <c r="D285">
        <v>700</v>
      </c>
      <c r="E285">
        <v>1472</v>
      </c>
      <c r="F285">
        <v>0.01</v>
      </c>
    </row>
    <row r="286" spans="1:6" hidden="1" x14ac:dyDescent="0.25">
      <c r="A286" t="s">
        <v>160</v>
      </c>
      <c r="B286" t="s">
        <v>109</v>
      </c>
      <c r="C286" t="s">
        <v>295</v>
      </c>
      <c r="D286">
        <v>800</v>
      </c>
      <c r="E286">
        <v>1573</v>
      </c>
      <c r="F286">
        <v>0.01</v>
      </c>
    </row>
    <row r="287" spans="1:6" hidden="1" x14ac:dyDescent="0.25">
      <c r="A287" t="s">
        <v>160</v>
      </c>
      <c r="B287" t="s">
        <v>109</v>
      </c>
      <c r="C287" t="s">
        <v>296</v>
      </c>
      <c r="D287">
        <v>1000</v>
      </c>
      <c r="E287">
        <v>1596</v>
      </c>
      <c r="F287">
        <v>0.01</v>
      </c>
    </row>
    <row r="288" spans="1:6" hidden="1" x14ac:dyDescent="0.25">
      <c r="A288" t="s">
        <v>160</v>
      </c>
      <c r="B288" t="s">
        <v>109</v>
      </c>
      <c r="C288" t="s">
        <v>297</v>
      </c>
      <c r="D288">
        <v>300</v>
      </c>
      <c r="E288">
        <v>1240</v>
      </c>
      <c r="F288">
        <v>0.01</v>
      </c>
    </row>
    <row r="289" spans="1:6" hidden="1" x14ac:dyDescent="0.25">
      <c r="A289" t="s">
        <v>160</v>
      </c>
      <c r="B289" t="s">
        <v>109</v>
      </c>
      <c r="C289" t="s">
        <v>298</v>
      </c>
      <c r="D289">
        <v>500</v>
      </c>
      <c r="E289">
        <v>1400</v>
      </c>
      <c r="F289">
        <v>0.01</v>
      </c>
    </row>
    <row r="290" spans="1:6" hidden="1" x14ac:dyDescent="0.25">
      <c r="A290" t="s">
        <v>160</v>
      </c>
      <c r="B290" t="s">
        <v>109</v>
      </c>
      <c r="C290" t="s">
        <v>299</v>
      </c>
      <c r="D290">
        <v>700</v>
      </c>
      <c r="E290">
        <v>1540</v>
      </c>
      <c r="F290">
        <v>0</v>
      </c>
    </row>
    <row r="291" spans="1:6" hidden="1" x14ac:dyDescent="0.25">
      <c r="A291" t="s">
        <v>160</v>
      </c>
      <c r="B291" t="s">
        <v>109</v>
      </c>
      <c r="C291" t="s">
        <v>300</v>
      </c>
      <c r="D291">
        <v>800</v>
      </c>
      <c r="E291">
        <v>1466</v>
      </c>
      <c r="F291">
        <v>0.01</v>
      </c>
    </row>
    <row r="292" spans="1:6" hidden="1" x14ac:dyDescent="0.25">
      <c r="A292" t="s">
        <v>160</v>
      </c>
      <c r="B292" t="s">
        <v>109</v>
      </c>
      <c r="C292" t="s">
        <v>301</v>
      </c>
      <c r="D292">
        <v>1000</v>
      </c>
      <c r="E292">
        <v>1404</v>
      </c>
      <c r="F292">
        <v>0.01</v>
      </c>
    </row>
    <row r="293" spans="1:6" hidden="1" x14ac:dyDescent="0.25">
      <c r="A293" t="s">
        <v>160</v>
      </c>
      <c r="B293" t="s">
        <v>109</v>
      </c>
      <c r="C293" t="s">
        <v>302</v>
      </c>
      <c r="D293">
        <v>300</v>
      </c>
      <c r="E293">
        <v>1289</v>
      </c>
      <c r="F293">
        <v>0</v>
      </c>
    </row>
    <row r="294" spans="1:6" hidden="1" x14ac:dyDescent="0.25">
      <c r="A294" t="s">
        <v>160</v>
      </c>
      <c r="B294" t="s">
        <v>109</v>
      </c>
      <c r="C294" t="s">
        <v>303</v>
      </c>
      <c r="D294">
        <v>500</v>
      </c>
      <c r="E294">
        <v>1375</v>
      </c>
      <c r="F294">
        <v>0</v>
      </c>
    </row>
    <row r="295" spans="1:6" hidden="1" x14ac:dyDescent="0.25">
      <c r="A295" t="s">
        <v>160</v>
      </c>
      <c r="B295" t="s">
        <v>109</v>
      </c>
      <c r="C295" t="s">
        <v>304</v>
      </c>
      <c r="D295">
        <v>700</v>
      </c>
      <c r="E295">
        <v>1525</v>
      </c>
      <c r="F295">
        <v>0</v>
      </c>
    </row>
    <row r="296" spans="1:6" hidden="1" x14ac:dyDescent="0.25">
      <c r="A296" t="s">
        <v>160</v>
      </c>
      <c r="B296" t="s">
        <v>109</v>
      </c>
      <c r="C296" t="s">
        <v>305</v>
      </c>
      <c r="D296">
        <v>800</v>
      </c>
      <c r="E296">
        <v>1578</v>
      </c>
      <c r="F296">
        <v>0.01</v>
      </c>
    </row>
    <row r="297" spans="1:6" hidden="1" x14ac:dyDescent="0.25">
      <c r="A297" t="s">
        <v>160</v>
      </c>
      <c r="B297" t="s">
        <v>109</v>
      </c>
      <c r="C297" t="s">
        <v>306</v>
      </c>
      <c r="D297">
        <v>1000</v>
      </c>
      <c r="E297">
        <v>1573</v>
      </c>
      <c r="F297">
        <v>0.01</v>
      </c>
    </row>
    <row r="298" spans="1:6" hidden="1" x14ac:dyDescent="0.25">
      <c r="A298" t="s">
        <v>160</v>
      </c>
      <c r="B298" t="s">
        <v>109</v>
      </c>
      <c r="C298" t="s">
        <v>307</v>
      </c>
      <c r="D298">
        <v>300</v>
      </c>
      <c r="E298">
        <v>1221</v>
      </c>
      <c r="F298">
        <v>0.01</v>
      </c>
    </row>
    <row r="299" spans="1:6" hidden="1" x14ac:dyDescent="0.25">
      <c r="A299" t="s">
        <v>160</v>
      </c>
      <c r="B299" t="s">
        <v>109</v>
      </c>
      <c r="C299" t="s">
        <v>308</v>
      </c>
      <c r="D299">
        <v>500</v>
      </c>
      <c r="E299">
        <v>1577</v>
      </c>
      <c r="F299">
        <v>0.01</v>
      </c>
    </row>
    <row r="300" spans="1:6" hidden="1" x14ac:dyDescent="0.25">
      <c r="A300" t="s">
        <v>160</v>
      </c>
      <c r="B300" t="s">
        <v>109</v>
      </c>
      <c r="C300" t="s">
        <v>309</v>
      </c>
      <c r="D300">
        <v>700</v>
      </c>
      <c r="E300">
        <v>1664</v>
      </c>
      <c r="F300">
        <v>0.01</v>
      </c>
    </row>
    <row r="301" spans="1:6" hidden="1" x14ac:dyDescent="0.25">
      <c r="A301" t="s">
        <v>160</v>
      </c>
      <c r="B301" t="s">
        <v>109</v>
      </c>
      <c r="C301" t="s">
        <v>310</v>
      </c>
      <c r="D301">
        <v>800</v>
      </c>
      <c r="E301">
        <v>1618</v>
      </c>
      <c r="F301">
        <v>0</v>
      </c>
    </row>
    <row r="302" spans="1:6" hidden="1" x14ac:dyDescent="0.25">
      <c r="A302" t="s">
        <v>311</v>
      </c>
      <c r="B302" t="s">
        <v>7</v>
      </c>
      <c r="C302" t="s">
        <v>312</v>
      </c>
      <c r="D302">
        <v>1000</v>
      </c>
      <c r="E302">
        <v>4257</v>
      </c>
      <c r="F302">
        <v>0.01</v>
      </c>
    </row>
    <row r="303" spans="1:6" hidden="1" x14ac:dyDescent="0.25">
      <c r="A303" t="s">
        <v>311</v>
      </c>
      <c r="B303" t="s">
        <v>7</v>
      </c>
      <c r="C303" t="s">
        <v>313</v>
      </c>
      <c r="D303">
        <v>300</v>
      </c>
      <c r="E303">
        <v>1355</v>
      </c>
      <c r="F303">
        <v>0.02</v>
      </c>
    </row>
    <row r="304" spans="1:6" hidden="1" x14ac:dyDescent="0.25">
      <c r="A304" t="s">
        <v>311</v>
      </c>
      <c r="B304" t="s">
        <v>7</v>
      </c>
      <c r="C304" t="s">
        <v>314</v>
      </c>
      <c r="D304">
        <v>500</v>
      </c>
      <c r="E304">
        <v>2137</v>
      </c>
      <c r="F304">
        <v>0</v>
      </c>
    </row>
    <row r="305" spans="1:6" hidden="1" x14ac:dyDescent="0.25">
      <c r="A305" t="s">
        <v>311</v>
      </c>
      <c r="B305" t="s">
        <v>7</v>
      </c>
      <c r="C305" t="s">
        <v>315</v>
      </c>
      <c r="D305">
        <v>700</v>
      </c>
      <c r="E305">
        <v>3019</v>
      </c>
      <c r="F305">
        <v>0.01</v>
      </c>
    </row>
    <row r="306" spans="1:6" hidden="1" x14ac:dyDescent="0.25">
      <c r="A306" t="s">
        <v>311</v>
      </c>
      <c r="B306" t="s">
        <v>7</v>
      </c>
      <c r="C306" t="s">
        <v>316</v>
      </c>
      <c r="D306">
        <v>800</v>
      </c>
      <c r="E306">
        <v>3550</v>
      </c>
      <c r="F306">
        <v>0.01</v>
      </c>
    </row>
    <row r="307" spans="1:6" hidden="1" x14ac:dyDescent="0.25">
      <c r="A307" t="s">
        <v>311</v>
      </c>
      <c r="B307" t="s">
        <v>7</v>
      </c>
      <c r="C307" t="s">
        <v>317</v>
      </c>
      <c r="D307">
        <v>1000</v>
      </c>
      <c r="E307">
        <v>4424</v>
      </c>
      <c r="F307">
        <v>0.01</v>
      </c>
    </row>
    <row r="308" spans="1:6" hidden="1" x14ac:dyDescent="0.25">
      <c r="A308" t="s">
        <v>311</v>
      </c>
      <c r="B308" t="s">
        <v>7</v>
      </c>
      <c r="C308" t="s">
        <v>318</v>
      </c>
      <c r="D308">
        <v>300</v>
      </c>
      <c r="E308">
        <v>1228</v>
      </c>
      <c r="F308">
        <v>0.01</v>
      </c>
    </row>
    <row r="309" spans="1:6" hidden="1" x14ac:dyDescent="0.25">
      <c r="A309" t="s">
        <v>311</v>
      </c>
      <c r="B309" t="s">
        <v>7</v>
      </c>
      <c r="C309" t="s">
        <v>319</v>
      </c>
      <c r="D309">
        <v>500</v>
      </c>
      <c r="E309">
        <v>2165</v>
      </c>
      <c r="F309">
        <v>0.01</v>
      </c>
    </row>
    <row r="310" spans="1:6" hidden="1" x14ac:dyDescent="0.25">
      <c r="A310" t="s">
        <v>311</v>
      </c>
      <c r="B310" t="s">
        <v>7</v>
      </c>
      <c r="C310" t="s">
        <v>320</v>
      </c>
      <c r="D310">
        <v>700</v>
      </c>
      <c r="E310">
        <v>3055</v>
      </c>
      <c r="F310">
        <v>0.01</v>
      </c>
    </row>
    <row r="311" spans="1:6" hidden="1" x14ac:dyDescent="0.25">
      <c r="A311" t="s">
        <v>311</v>
      </c>
      <c r="B311" t="s">
        <v>7</v>
      </c>
      <c r="C311" t="s">
        <v>321</v>
      </c>
      <c r="D311">
        <v>800</v>
      </c>
      <c r="E311">
        <v>3420</v>
      </c>
      <c r="F311">
        <v>0.01</v>
      </c>
    </row>
    <row r="312" spans="1:6" hidden="1" x14ac:dyDescent="0.25">
      <c r="A312" t="s">
        <v>311</v>
      </c>
      <c r="B312" t="s">
        <v>7</v>
      </c>
      <c r="C312" t="s">
        <v>322</v>
      </c>
      <c r="D312">
        <v>1000</v>
      </c>
      <c r="E312">
        <v>4279</v>
      </c>
      <c r="F312">
        <v>0.01</v>
      </c>
    </row>
    <row r="313" spans="1:6" hidden="1" x14ac:dyDescent="0.25">
      <c r="A313" t="s">
        <v>311</v>
      </c>
      <c r="B313" t="s">
        <v>7</v>
      </c>
      <c r="C313" t="s">
        <v>323</v>
      </c>
      <c r="D313">
        <v>300</v>
      </c>
      <c r="E313">
        <v>1379</v>
      </c>
      <c r="F313">
        <v>0.01</v>
      </c>
    </row>
    <row r="314" spans="1:6" hidden="1" x14ac:dyDescent="0.25">
      <c r="A314" t="s">
        <v>311</v>
      </c>
      <c r="B314" t="s">
        <v>7</v>
      </c>
      <c r="C314" t="s">
        <v>324</v>
      </c>
      <c r="D314">
        <v>500</v>
      </c>
      <c r="E314">
        <v>2230</v>
      </c>
      <c r="F314">
        <v>0.01</v>
      </c>
    </row>
    <row r="315" spans="1:6" hidden="1" x14ac:dyDescent="0.25">
      <c r="A315" t="s">
        <v>311</v>
      </c>
      <c r="B315" t="s">
        <v>7</v>
      </c>
      <c r="C315" t="s">
        <v>325</v>
      </c>
      <c r="D315">
        <v>700</v>
      </c>
      <c r="E315">
        <v>2992</v>
      </c>
      <c r="F315">
        <v>0.01</v>
      </c>
    </row>
    <row r="316" spans="1:6" hidden="1" x14ac:dyDescent="0.25">
      <c r="A316" t="s">
        <v>311</v>
      </c>
      <c r="B316" t="s">
        <v>7</v>
      </c>
      <c r="C316" t="s">
        <v>326</v>
      </c>
      <c r="D316">
        <v>800</v>
      </c>
      <c r="E316">
        <v>3499</v>
      </c>
      <c r="F316">
        <v>0.01</v>
      </c>
    </row>
    <row r="317" spans="1:6" hidden="1" x14ac:dyDescent="0.25">
      <c r="A317" t="s">
        <v>311</v>
      </c>
      <c r="B317" t="s">
        <v>7</v>
      </c>
      <c r="C317" t="s">
        <v>327</v>
      </c>
      <c r="D317">
        <v>1000</v>
      </c>
      <c r="E317">
        <v>4434</v>
      </c>
      <c r="F317">
        <v>0.01</v>
      </c>
    </row>
    <row r="318" spans="1:6" hidden="1" x14ac:dyDescent="0.25">
      <c r="A318" t="s">
        <v>311</v>
      </c>
      <c r="B318" t="s">
        <v>7</v>
      </c>
      <c r="C318" t="s">
        <v>328</v>
      </c>
      <c r="D318">
        <v>300</v>
      </c>
      <c r="E318">
        <v>1305</v>
      </c>
      <c r="F318">
        <v>0.03</v>
      </c>
    </row>
    <row r="319" spans="1:6" hidden="1" x14ac:dyDescent="0.25">
      <c r="A319" t="s">
        <v>311</v>
      </c>
      <c r="B319" t="s">
        <v>7</v>
      </c>
      <c r="C319" t="s">
        <v>329</v>
      </c>
      <c r="D319">
        <v>500</v>
      </c>
      <c r="E319">
        <v>2188</v>
      </c>
      <c r="F319">
        <v>0.02</v>
      </c>
    </row>
    <row r="320" spans="1:6" hidden="1" x14ac:dyDescent="0.25">
      <c r="A320" t="s">
        <v>311</v>
      </c>
      <c r="B320" t="s">
        <v>7</v>
      </c>
      <c r="C320" t="s">
        <v>330</v>
      </c>
      <c r="D320">
        <v>700</v>
      </c>
      <c r="E320">
        <v>3056</v>
      </c>
      <c r="F320">
        <v>0.01</v>
      </c>
    </row>
    <row r="321" spans="1:6" hidden="1" x14ac:dyDescent="0.25">
      <c r="A321" t="s">
        <v>311</v>
      </c>
      <c r="B321" t="s">
        <v>7</v>
      </c>
      <c r="C321" t="s">
        <v>331</v>
      </c>
      <c r="D321">
        <v>800</v>
      </c>
      <c r="E321">
        <v>3525</v>
      </c>
      <c r="F321">
        <v>0.01</v>
      </c>
    </row>
    <row r="322" spans="1:6" hidden="1" x14ac:dyDescent="0.25">
      <c r="A322" t="s">
        <v>311</v>
      </c>
      <c r="B322" t="s">
        <v>7</v>
      </c>
      <c r="C322" t="s">
        <v>332</v>
      </c>
      <c r="D322">
        <v>1000</v>
      </c>
      <c r="E322">
        <v>4424</v>
      </c>
      <c r="F322">
        <v>0.01</v>
      </c>
    </row>
    <row r="323" spans="1:6" hidden="1" x14ac:dyDescent="0.25">
      <c r="A323" t="s">
        <v>311</v>
      </c>
      <c r="B323" t="s">
        <v>7</v>
      </c>
      <c r="C323" t="s">
        <v>333</v>
      </c>
      <c r="D323">
        <v>300</v>
      </c>
      <c r="E323">
        <v>1287</v>
      </c>
      <c r="F323">
        <v>0</v>
      </c>
    </row>
    <row r="324" spans="1:6" hidden="1" x14ac:dyDescent="0.25">
      <c r="A324" t="s">
        <v>311</v>
      </c>
      <c r="B324" t="s">
        <v>7</v>
      </c>
      <c r="C324" t="s">
        <v>334</v>
      </c>
      <c r="D324">
        <v>500</v>
      </c>
      <c r="E324">
        <v>2220</v>
      </c>
      <c r="F324">
        <v>0.01</v>
      </c>
    </row>
    <row r="325" spans="1:6" hidden="1" x14ac:dyDescent="0.25">
      <c r="A325" t="s">
        <v>311</v>
      </c>
      <c r="B325" t="s">
        <v>7</v>
      </c>
      <c r="C325" t="s">
        <v>335</v>
      </c>
      <c r="D325">
        <v>700</v>
      </c>
      <c r="E325">
        <v>3057</v>
      </c>
      <c r="F325">
        <v>0.01</v>
      </c>
    </row>
    <row r="326" spans="1:6" hidden="1" x14ac:dyDescent="0.25">
      <c r="A326" t="s">
        <v>311</v>
      </c>
      <c r="B326" t="s">
        <v>7</v>
      </c>
      <c r="C326" t="s">
        <v>336</v>
      </c>
      <c r="D326">
        <v>800</v>
      </c>
      <c r="E326">
        <v>3586</v>
      </c>
      <c r="F326">
        <v>0</v>
      </c>
    </row>
    <row r="327" spans="1:6" hidden="1" x14ac:dyDescent="0.25">
      <c r="A327" t="s">
        <v>311</v>
      </c>
      <c r="B327" t="s">
        <v>7</v>
      </c>
      <c r="C327" t="s">
        <v>337</v>
      </c>
      <c r="D327">
        <v>1000</v>
      </c>
      <c r="E327">
        <v>4445</v>
      </c>
      <c r="F327">
        <v>0.01</v>
      </c>
    </row>
    <row r="328" spans="1:6" hidden="1" x14ac:dyDescent="0.25">
      <c r="A328" t="s">
        <v>311</v>
      </c>
      <c r="B328" t="s">
        <v>7</v>
      </c>
      <c r="C328" t="s">
        <v>338</v>
      </c>
      <c r="D328">
        <v>300</v>
      </c>
      <c r="E328">
        <v>1290</v>
      </c>
      <c r="F328">
        <v>0</v>
      </c>
    </row>
    <row r="329" spans="1:6" hidden="1" x14ac:dyDescent="0.25">
      <c r="A329" t="s">
        <v>311</v>
      </c>
      <c r="B329" t="s">
        <v>7</v>
      </c>
      <c r="C329" t="s">
        <v>339</v>
      </c>
      <c r="D329">
        <v>500</v>
      </c>
      <c r="E329">
        <v>2294</v>
      </c>
      <c r="F329">
        <v>0.01</v>
      </c>
    </row>
    <row r="330" spans="1:6" hidden="1" x14ac:dyDescent="0.25">
      <c r="A330" t="s">
        <v>311</v>
      </c>
      <c r="B330" t="s">
        <v>7</v>
      </c>
      <c r="C330" t="s">
        <v>340</v>
      </c>
      <c r="D330">
        <v>700</v>
      </c>
      <c r="E330">
        <v>2992</v>
      </c>
      <c r="F330">
        <v>0</v>
      </c>
    </row>
    <row r="331" spans="1:6" hidden="1" x14ac:dyDescent="0.25">
      <c r="A331" t="s">
        <v>311</v>
      </c>
      <c r="B331" t="s">
        <v>7</v>
      </c>
      <c r="C331" t="s">
        <v>341</v>
      </c>
      <c r="D331">
        <v>800</v>
      </c>
      <c r="E331">
        <v>3332</v>
      </c>
      <c r="F331">
        <v>0.02</v>
      </c>
    </row>
    <row r="332" spans="1:6" hidden="1" x14ac:dyDescent="0.25">
      <c r="A332" t="s">
        <v>311</v>
      </c>
      <c r="B332" t="s">
        <v>7</v>
      </c>
      <c r="C332" t="s">
        <v>342</v>
      </c>
      <c r="D332">
        <v>1000</v>
      </c>
      <c r="E332">
        <v>4412</v>
      </c>
      <c r="F332">
        <v>0.01</v>
      </c>
    </row>
    <row r="333" spans="1:6" hidden="1" x14ac:dyDescent="0.25">
      <c r="A333" t="s">
        <v>311</v>
      </c>
      <c r="B333" t="s">
        <v>7</v>
      </c>
      <c r="C333" t="s">
        <v>343</v>
      </c>
      <c r="D333">
        <v>300</v>
      </c>
      <c r="E333">
        <v>1259</v>
      </c>
      <c r="F333">
        <v>0.01</v>
      </c>
    </row>
    <row r="334" spans="1:6" hidden="1" x14ac:dyDescent="0.25">
      <c r="A334" t="s">
        <v>311</v>
      </c>
      <c r="B334" t="s">
        <v>7</v>
      </c>
      <c r="C334" t="s">
        <v>344</v>
      </c>
      <c r="D334">
        <v>500</v>
      </c>
      <c r="E334">
        <v>2113</v>
      </c>
      <c r="F334">
        <v>0.01</v>
      </c>
    </row>
    <row r="335" spans="1:6" hidden="1" x14ac:dyDescent="0.25">
      <c r="A335" t="s">
        <v>311</v>
      </c>
      <c r="B335" t="s">
        <v>7</v>
      </c>
      <c r="C335" t="s">
        <v>345</v>
      </c>
      <c r="D335">
        <v>700</v>
      </c>
      <c r="E335">
        <v>3001</v>
      </c>
      <c r="F335">
        <v>0.01</v>
      </c>
    </row>
    <row r="336" spans="1:6" hidden="1" x14ac:dyDescent="0.25">
      <c r="A336" t="s">
        <v>311</v>
      </c>
      <c r="B336" t="s">
        <v>7</v>
      </c>
      <c r="C336" t="s">
        <v>346</v>
      </c>
      <c r="D336">
        <v>800</v>
      </c>
      <c r="E336">
        <v>3486</v>
      </c>
      <c r="F336">
        <v>0.01</v>
      </c>
    </row>
    <row r="337" spans="1:6" hidden="1" x14ac:dyDescent="0.25">
      <c r="A337" t="s">
        <v>311</v>
      </c>
      <c r="B337" t="s">
        <v>7</v>
      </c>
      <c r="C337" t="s">
        <v>347</v>
      </c>
      <c r="D337">
        <v>1000</v>
      </c>
      <c r="E337">
        <v>4393</v>
      </c>
      <c r="F337">
        <v>0.01</v>
      </c>
    </row>
    <row r="338" spans="1:6" hidden="1" x14ac:dyDescent="0.25">
      <c r="A338" t="s">
        <v>311</v>
      </c>
      <c r="B338" t="s">
        <v>7</v>
      </c>
      <c r="C338" t="s">
        <v>348</v>
      </c>
      <c r="D338">
        <v>300</v>
      </c>
      <c r="E338">
        <v>1320</v>
      </c>
      <c r="F338">
        <v>0.01</v>
      </c>
    </row>
    <row r="339" spans="1:6" hidden="1" x14ac:dyDescent="0.25">
      <c r="A339" t="s">
        <v>311</v>
      </c>
      <c r="B339" t="s">
        <v>7</v>
      </c>
      <c r="C339" t="s">
        <v>349</v>
      </c>
      <c r="D339">
        <v>500</v>
      </c>
      <c r="E339">
        <v>2159</v>
      </c>
      <c r="F339">
        <v>0</v>
      </c>
    </row>
    <row r="340" spans="1:6" hidden="1" x14ac:dyDescent="0.25">
      <c r="A340" t="s">
        <v>311</v>
      </c>
      <c r="B340" t="s">
        <v>7</v>
      </c>
      <c r="C340" t="s">
        <v>350</v>
      </c>
      <c r="D340">
        <v>700</v>
      </c>
      <c r="E340">
        <v>3142</v>
      </c>
      <c r="F340">
        <v>0.01</v>
      </c>
    </row>
    <row r="341" spans="1:6" hidden="1" x14ac:dyDescent="0.25">
      <c r="A341" t="s">
        <v>311</v>
      </c>
      <c r="B341" t="s">
        <v>7</v>
      </c>
      <c r="C341" t="s">
        <v>351</v>
      </c>
      <c r="D341">
        <v>800</v>
      </c>
      <c r="E341">
        <v>3540</v>
      </c>
      <c r="F341">
        <v>0.01</v>
      </c>
    </row>
    <row r="342" spans="1:6" hidden="1" x14ac:dyDescent="0.25">
      <c r="A342" t="s">
        <v>311</v>
      </c>
      <c r="B342" t="s">
        <v>7</v>
      </c>
      <c r="C342" t="s">
        <v>352</v>
      </c>
      <c r="D342">
        <v>1000</v>
      </c>
      <c r="E342">
        <v>4374</v>
      </c>
      <c r="F342">
        <v>0.01</v>
      </c>
    </row>
    <row r="343" spans="1:6" hidden="1" x14ac:dyDescent="0.25">
      <c r="A343" t="s">
        <v>311</v>
      </c>
      <c r="B343" t="s">
        <v>7</v>
      </c>
      <c r="C343" t="s">
        <v>353</v>
      </c>
      <c r="D343">
        <v>300</v>
      </c>
      <c r="E343">
        <v>1361</v>
      </c>
      <c r="F343">
        <v>0.01</v>
      </c>
    </row>
    <row r="344" spans="1:6" hidden="1" x14ac:dyDescent="0.25">
      <c r="A344" t="s">
        <v>311</v>
      </c>
      <c r="B344" t="s">
        <v>7</v>
      </c>
      <c r="C344" t="s">
        <v>354</v>
      </c>
      <c r="D344">
        <v>500</v>
      </c>
      <c r="E344">
        <v>2281</v>
      </c>
      <c r="F344">
        <v>0.01</v>
      </c>
    </row>
    <row r="345" spans="1:6" hidden="1" x14ac:dyDescent="0.25">
      <c r="A345" t="s">
        <v>311</v>
      </c>
      <c r="B345" t="s">
        <v>7</v>
      </c>
      <c r="C345" t="s">
        <v>355</v>
      </c>
      <c r="D345">
        <v>700</v>
      </c>
      <c r="E345">
        <v>2931</v>
      </c>
      <c r="F345">
        <v>0.01</v>
      </c>
    </row>
    <row r="346" spans="1:6" hidden="1" x14ac:dyDescent="0.25">
      <c r="A346" t="s">
        <v>311</v>
      </c>
      <c r="B346" t="s">
        <v>7</v>
      </c>
      <c r="C346" t="s">
        <v>356</v>
      </c>
      <c r="D346">
        <v>800</v>
      </c>
      <c r="E346">
        <v>3504</v>
      </c>
      <c r="F346">
        <v>0.01</v>
      </c>
    </row>
    <row r="347" spans="1:6" hidden="1" x14ac:dyDescent="0.25">
      <c r="A347" t="s">
        <v>311</v>
      </c>
      <c r="B347" t="s">
        <v>7</v>
      </c>
      <c r="C347" t="s">
        <v>357</v>
      </c>
      <c r="D347">
        <v>1000</v>
      </c>
      <c r="E347">
        <v>4300</v>
      </c>
      <c r="F347">
        <v>0.01</v>
      </c>
    </row>
    <row r="348" spans="1:6" hidden="1" x14ac:dyDescent="0.25">
      <c r="A348" t="s">
        <v>311</v>
      </c>
      <c r="B348" t="s">
        <v>7</v>
      </c>
      <c r="C348" t="s">
        <v>358</v>
      </c>
      <c r="D348">
        <v>300</v>
      </c>
      <c r="E348">
        <v>1253</v>
      </c>
      <c r="F348">
        <v>0.01</v>
      </c>
    </row>
    <row r="349" spans="1:6" hidden="1" x14ac:dyDescent="0.25">
      <c r="A349" t="s">
        <v>311</v>
      </c>
      <c r="B349" t="s">
        <v>7</v>
      </c>
      <c r="C349" t="s">
        <v>359</v>
      </c>
      <c r="D349">
        <v>500</v>
      </c>
      <c r="E349">
        <v>2081</v>
      </c>
      <c r="F349">
        <v>0</v>
      </c>
    </row>
    <row r="350" spans="1:6" hidden="1" x14ac:dyDescent="0.25">
      <c r="A350" t="s">
        <v>311</v>
      </c>
      <c r="B350" t="s">
        <v>7</v>
      </c>
      <c r="C350" t="s">
        <v>360</v>
      </c>
      <c r="D350">
        <v>700</v>
      </c>
      <c r="E350">
        <v>3125</v>
      </c>
      <c r="F350">
        <v>0.01</v>
      </c>
    </row>
    <row r="351" spans="1:6" hidden="1" x14ac:dyDescent="0.25">
      <c r="A351" t="s">
        <v>311</v>
      </c>
      <c r="B351" t="s">
        <v>7</v>
      </c>
      <c r="C351" t="s">
        <v>361</v>
      </c>
      <c r="D351">
        <v>800</v>
      </c>
      <c r="E351">
        <v>3514</v>
      </c>
      <c r="F351">
        <v>0.02</v>
      </c>
    </row>
    <row r="352" spans="1:6" hidden="1" x14ac:dyDescent="0.25">
      <c r="A352" t="s">
        <v>311</v>
      </c>
      <c r="B352" t="s">
        <v>58</v>
      </c>
      <c r="C352" t="s">
        <v>362</v>
      </c>
      <c r="D352">
        <v>1000</v>
      </c>
      <c r="E352">
        <v>4401</v>
      </c>
      <c r="F352">
        <v>0.01</v>
      </c>
    </row>
    <row r="353" spans="1:6" hidden="1" x14ac:dyDescent="0.25">
      <c r="A353" t="s">
        <v>311</v>
      </c>
      <c r="B353" t="s">
        <v>58</v>
      </c>
      <c r="C353" t="s">
        <v>363</v>
      </c>
      <c r="D353">
        <v>300</v>
      </c>
      <c r="E353">
        <v>1297</v>
      </c>
      <c r="F353">
        <v>0.01</v>
      </c>
    </row>
    <row r="354" spans="1:6" hidden="1" x14ac:dyDescent="0.25">
      <c r="A354" t="s">
        <v>311</v>
      </c>
      <c r="B354" t="s">
        <v>58</v>
      </c>
      <c r="C354" t="s">
        <v>364</v>
      </c>
      <c r="D354">
        <v>500</v>
      </c>
      <c r="E354">
        <v>2106</v>
      </c>
      <c r="F354">
        <v>0</v>
      </c>
    </row>
    <row r="355" spans="1:6" hidden="1" x14ac:dyDescent="0.25">
      <c r="A355" t="s">
        <v>311</v>
      </c>
      <c r="B355" t="s">
        <v>58</v>
      </c>
      <c r="C355" t="s">
        <v>365</v>
      </c>
      <c r="D355">
        <v>700</v>
      </c>
      <c r="E355">
        <v>3094</v>
      </c>
      <c r="F355">
        <v>0.01</v>
      </c>
    </row>
    <row r="356" spans="1:6" hidden="1" x14ac:dyDescent="0.25">
      <c r="A356" t="s">
        <v>311</v>
      </c>
      <c r="B356" t="s">
        <v>58</v>
      </c>
      <c r="C356" t="s">
        <v>366</v>
      </c>
      <c r="D356">
        <v>800</v>
      </c>
      <c r="E356">
        <v>3452</v>
      </c>
      <c r="F356">
        <v>0.01</v>
      </c>
    </row>
    <row r="357" spans="1:6" hidden="1" x14ac:dyDescent="0.25">
      <c r="A357" t="s">
        <v>311</v>
      </c>
      <c r="B357" t="s">
        <v>58</v>
      </c>
      <c r="C357" t="s">
        <v>367</v>
      </c>
      <c r="D357">
        <v>1000</v>
      </c>
      <c r="E357">
        <v>4428</v>
      </c>
      <c r="F357">
        <v>0.01</v>
      </c>
    </row>
    <row r="358" spans="1:6" hidden="1" x14ac:dyDescent="0.25">
      <c r="A358" t="s">
        <v>311</v>
      </c>
      <c r="B358" t="s">
        <v>58</v>
      </c>
      <c r="C358" t="s">
        <v>368</v>
      </c>
      <c r="D358">
        <v>300</v>
      </c>
      <c r="E358">
        <v>1244</v>
      </c>
      <c r="F358">
        <v>0.01</v>
      </c>
    </row>
    <row r="359" spans="1:6" hidden="1" x14ac:dyDescent="0.25">
      <c r="A359" t="s">
        <v>311</v>
      </c>
      <c r="B359" t="s">
        <v>58</v>
      </c>
      <c r="C359" t="s">
        <v>369</v>
      </c>
      <c r="D359">
        <v>500</v>
      </c>
      <c r="E359">
        <v>2208</v>
      </c>
      <c r="F359">
        <v>0.01</v>
      </c>
    </row>
    <row r="360" spans="1:6" hidden="1" x14ac:dyDescent="0.25">
      <c r="A360" t="s">
        <v>311</v>
      </c>
      <c r="B360" t="s">
        <v>58</v>
      </c>
      <c r="C360" t="s">
        <v>370</v>
      </c>
      <c r="D360">
        <v>700</v>
      </c>
      <c r="E360">
        <v>3162</v>
      </c>
      <c r="F360">
        <v>0.01</v>
      </c>
    </row>
    <row r="361" spans="1:6" hidden="1" x14ac:dyDescent="0.25">
      <c r="A361" t="s">
        <v>311</v>
      </c>
      <c r="B361" t="s">
        <v>58</v>
      </c>
      <c r="C361" t="s">
        <v>371</v>
      </c>
      <c r="D361">
        <v>800</v>
      </c>
      <c r="E361">
        <v>3573</v>
      </c>
      <c r="F361">
        <v>0.01</v>
      </c>
    </row>
    <row r="362" spans="1:6" hidden="1" x14ac:dyDescent="0.25">
      <c r="A362" t="s">
        <v>311</v>
      </c>
      <c r="B362" t="s">
        <v>58</v>
      </c>
      <c r="C362" t="s">
        <v>372</v>
      </c>
      <c r="D362">
        <v>1000</v>
      </c>
      <c r="E362">
        <v>4381</v>
      </c>
      <c r="F362">
        <v>0.01</v>
      </c>
    </row>
    <row r="363" spans="1:6" hidden="1" x14ac:dyDescent="0.25">
      <c r="A363" t="s">
        <v>311</v>
      </c>
      <c r="B363" t="s">
        <v>58</v>
      </c>
      <c r="C363" t="s">
        <v>373</v>
      </c>
      <c r="D363">
        <v>300</v>
      </c>
      <c r="E363">
        <v>1340</v>
      </c>
      <c r="F363">
        <v>0.01</v>
      </c>
    </row>
    <row r="364" spans="1:6" hidden="1" x14ac:dyDescent="0.25">
      <c r="A364" t="s">
        <v>311</v>
      </c>
      <c r="B364" t="s">
        <v>58</v>
      </c>
      <c r="C364" t="s">
        <v>374</v>
      </c>
      <c r="D364">
        <v>500</v>
      </c>
      <c r="E364">
        <v>2268</v>
      </c>
      <c r="F364">
        <v>0.01</v>
      </c>
    </row>
    <row r="365" spans="1:6" hidden="1" x14ac:dyDescent="0.25">
      <c r="A365" t="s">
        <v>311</v>
      </c>
      <c r="B365" t="s">
        <v>58</v>
      </c>
      <c r="C365" t="s">
        <v>375</v>
      </c>
      <c r="D365">
        <v>700</v>
      </c>
      <c r="E365">
        <v>3038</v>
      </c>
      <c r="F365">
        <v>0.01</v>
      </c>
    </row>
    <row r="366" spans="1:6" hidden="1" x14ac:dyDescent="0.25">
      <c r="A366" t="s">
        <v>311</v>
      </c>
      <c r="B366" t="s">
        <v>58</v>
      </c>
      <c r="C366" t="s">
        <v>376</v>
      </c>
      <c r="D366">
        <v>800</v>
      </c>
      <c r="E366">
        <v>3520</v>
      </c>
      <c r="F366">
        <v>0.01</v>
      </c>
    </row>
    <row r="367" spans="1:6" hidden="1" x14ac:dyDescent="0.25">
      <c r="A367" t="s">
        <v>311</v>
      </c>
      <c r="B367" t="s">
        <v>58</v>
      </c>
      <c r="C367" t="s">
        <v>377</v>
      </c>
      <c r="D367">
        <v>1000</v>
      </c>
      <c r="E367">
        <v>4565</v>
      </c>
      <c r="F367">
        <v>0.02</v>
      </c>
    </row>
    <row r="368" spans="1:6" hidden="1" x14ac:dyDescent="0.25">
      <c r="A368" t="s">
        <v>311</v>
      </c>
      <c r="B368" t="s">
        <v>58</v>
      </c>
      <c r="C368" t="s">
        <v>378</v>
      </c>
      <c r="D368">
        <v>300</v>
      </c>
      <c r="E368">
        <v>1301</v>
      </c>
      <c r="F368">
        <v>0.01</v>
      </c>
    </row>
    <row r="369" spans="1:6" hidden="1" x14ac:dyDescent="0.25">
      <c r="A369" t="s">
        <v>311</v>
      </c>
      <c r="B369" t="s">
        <v>58</v>
      </c>
      <c r="C369" t="s">
        <v>379</v>
      </c>
      <c r="D369">
        <v>500</v>
      </c>
      <c r="E369">
        <v>2162</v>
      </c>
      <c r="F369">
        <v>0.01</v>
      </c>
    </row>
    <row r="370" spans="1:6" hidden="1" x14ac:dyDescent="0.25">
      <c r="A370" t="s">
        <v>311</v>
      </c>
      <c r="B370" t="s">
        <v>58</v>
      </c>
      <c r="C370" t="s">
        <v>380</v>
      </c>
      <c r="D370">
        <v>700</v>
      </c>
      <c r="E370">
        <v>3058</v>
      </c>
      <c r="F370">
        <v>0.01</v>
      </c>
    </row>
    <row r="371" spans="1:6" hidden="1" x14ac:dyDescent="0.25">
      <c r="A371" t="s">
        <v>311</v>
      </c>
      <c r="B371" t="s">
        <v>58</v>
      </c>
      <c r="C371" t="s">
        <v>381</v>
      </c>
      <c r="D371">
        <v>800</v>
      </c>
      <c r="E371">
        <v>3482</v>
      </c>
      <c r="F371">
        <v>0.01</v>
      </c>
    </row>
    <row r="372" spans="1:6" hidden="1" x14ac:dyDescent="0.25">
      <c r="A372" t="s">
        <v>311</v>
      </c>
      <c r="B372" t="s">
        <v>58</v>
      </c>
      <c r="C372" t="s">
        <v>382</v>
      </c>
      <c r="D372">
        <v>1000</v>
      </c>
      <c r="E372">
        <v>4439</v>
      </c>
      <c r="F372">
        <v>0.01</v>
      </c>
    </row>
    <row r="373" spans="1:6" hidden="1" x14ac:dyDescent="0.25">
      <c r="A373" t="s">
        <v>311</v>
      </c>
      <c r="B373" t="s">
        <v>58</v>
      </c>
      <c r="C373" t="s">
        <v>383</v>
      </c>
      <c r="D373">
        <v>300</v>
      </c>
      <c r="E373">
        <v>1270</v>
      </c>
      <c r="F373">
        <v>0.01</v>
      </c>
    </row>
    <row r="374" spans="1:6" hidden="1" x14ac:dyDescent="0.25">
      <c r="A374" t="s">
        <v>311</v>
      </c>
      <c r="B374" t="s">
        <v>58</v>
      </c>
      <c r="C374" t="s">
        <v>384</v>
      </c>
      <c r="D374">
        <v>500</v>
      </c>
      <c r="E374">
        <v>2178</v>
      </c>
      <c r="F374">
        <v>0.01</v>
      </c>
    </row>
    <row r="375" spans="1:6" hidden="1" x14ac:dyDescent="0.25">
      <c r="A375" t="s">
        <v>311</v>
      </c>
      <c r="B375" t="s">
        <v>58</v>
      </c>
      <c r="C375" t="s">
        <v>385</v>
      </c>
      <c r="D375">
        <v>700</v>
      </c>
      <c r="E375">
        <v>3110</v>
      </c>
      <c r="F375">
        <v>0.01</v>
      </c>
    </row>
    <row r="376" spans="1:6" hidden="1" x14ac:dyDescent="0.25">
      <c r="A376" t="s">
        <v>311</v>
      </c>
      <c r="B376" t="s">
        <v>58</v>
      </c>
      <c r="C376" t="s">
        <v>386</v>
      </c>
      <c r="D376">
        <v>800</v>
      </c>
      <c r="E376">
        <v>3546</v>
      </c>
      <c r="F376">
        <v>0.01</v>
      </c>
    </row>
    <row r="377" spans="1:6" hidden="1" x14ac:dyDescent="0.25">
      <c r="A377" t="s">
        <v>311</v>
      </c>
      <c r="B377" t="s">
        <v>58</v>
      </c>
      <c r="C377" t="s">
        <v>387</v>
      </c>
      <c r="D377">
        <v>1000</v>
      </c>
      <c r="E377">
        <v>4498</v>
      </c>
      <c r="F377">
        <v>0.01</v>
      </c>
    </row>
    <row r="378" spans="1:6" hidden="1" x14ac:dyDescent="0.25">
      <c r="A378" t="s">
        <v>311</v>
      </c>
      <c r="B378" t="s">
        <v>58</v>
      </c>
      <c r="C378" t="s">
        <v>388</v>
      </c>
      <c r="D378">
        <v>300</v>
      </c>
      <c r="E378">
        <v>1310</v>
      </c>
      <c r="F378">
        <v>0.01</v>
      </c>
    </row>
    <row r="379" spans="1:6" hidden="1" x14ac:dyDescent="0.25">
      <c r="A379" t="s">
        <v>311</v>
      </c>
      <c r="B379" t="s">
        <v>58</v>
      </c>
      <c r="C379" t="s">
        <v>389</v>
      </c>
      <c r="D379">
        <v>500</v>
      </c>
      <c r="E379">
        <v>2171</v>
      </c>
      <c r="F379">
        <v>0.01</v>
      </c>
    </row>
    <row r="380" spans="1:6" hidden="1" x14ac:dyDescent="0.25">
      <c r="A380" t="s">
        <v>311</v>
      </c>
      <c r="B380" t="s">
        <v>58</v>
      </c>
      <c r="C380" t="s">
        <v>390</v>
      </c>
      <c r="D380">
        <v>700</v>
      </c>
      <c r="E380">
        <v>3118</v>
      </c>
      <c r="F380">
        <v>0.01</v>
      </c>
    </row>
    <row r="381" spans="1:6" hidden="1" x14ac:dyDescent="0.25">
      <c r="A381" t="s">
        <v>311</v>
      </c>
      <c r="B381" t="s">
        <v>58</v>
      </c>
      <c r="C381" t="s">
        <v>391</v>
      </c>
      <c r="D381">
        <v>800</v>
      </c>
      <c r="E381">
        <v>3512</v>
      </c>
      <c r="F381">
        <v>0.01</v>
      </c>
    </row>
    <row r="382" spans="1:6" hidden="1" x14ac:dyDescent="0.25">
      <c r="A382" t="s">
        <v>311</v>
      </c>
      <c r="B382" t="s">
        <v>58</v>
      </c>
      <c r="C382" t="s">
        <v>392</v>
      </c>
      <c r="D382">
        <v>1000</v>
      </c>
      <c r="E382">
        <v>4334</v>
      </c>
      <c r="F382">
        <v>0.01</v>
      </c>
    </row>
    <row r="383" spans="1:6" hidden="1" x14ac:dyDescent="0.25">
      <c r="A383" t="s">
        <v>311</v>
      </c>
      <c r="B383" t="s">
        <v>58</v>
      </c>
      <c r="C383" t="s">
        <v>393</v>
      </c>
      <c r="D383">
        <v>300</v>
      </c>
      <c r="E383">
        <v>1371</v>
      </c>
      <c r="F383">
        <v>0.01</v>
      </c>
    </row>
    <row r="384" spans="1:6" hidden="1" x14ac:dyDescent="0.25">
      <c r="A384" t="s">
        <v>311</v>
      </c>
      <c r="B384" t="s">
        <v>58</v>
      </c>
      <c r="C384" t="s">
        <v>394</v>
      </c>
      <c r="D384">
        <v>500</v>
      </c>
      <c r="E384">
        <v>2218</v>
      </c>
      <c r="F384">
        <v>0.01</v>
      </c>
    </row>
    <row r="385" spans="1:6" hidden="1" x14ac:dyDescent="0.25">
      <c r="A385" t="s">
        <v>311</v>
      </c>
      <c r="B385" t="s">
        <v>58</v>
      </c>
      <c r="C385" t="s">
        <v>395</v>
      </c>
      <c r="D385">
        <v>700</v>
      </c>
      <c r="E385">
        <v>3083</v>
      </c>
      <c r="F385">
        <v>0.01</v>
      </c>
    </row>
    <row r="386" spans="1:6" hidden="1" x14ac:dyDescent="0.25">
      <c r="A386" t="s">
        <v>311</v>
      </c>
      <c r="B386" t="s">
        <v>58</v>
      </c>
      <c r="C386" t="s">
        <v>396</v>
      </c>
      <c r="D386">
        <v>800</v>
      </c>
      <c r="E386">
        <v>3447</v>
      </c>
      <c r="F386">
        <v>0.03</v>
      </c>
    </row>
    <row r="387" spans="1:6" hidden="1" x14ac:dyDescent="0.25">
      <c r="A387" t="s">
        <v>311</v>
      </c>
      <c r="B387" t="s">
        <v>58</v>
      </c>
      <c r="C387" t="s">
        <v>397</v>
      </c>
      <c r="D387">
        <v>1000</v>
      </c>
      <c r="E387">
        <v>4422</v>
      </c>
      <c r="F387">
        <v>0.01</v>
      </c>
    </row>
    <row r="388" spans="1:6" hidden="1" x14ac:dyDescent="0.25">
      <c r="A388" t="s">
        <v>311</v>
      </c>
      <c r="B388" t="s">
        <v>58</v>
      </c>
      <c r="C388" t="s">
        <v>398</v>
      </c>
      <c r="D388">
        <v>300</v>
      </c>
      <c r="E388">
        <v>1359</v>
      </c>
      <c r="F388">
        <v>0.01</v>
      </c>
    </row>
    <row r="389" spans="1:6" hidden="1" x14ac:dyDescent="0.25">
      <c r="A389" t="s">
        <v>311</v>
      </c>
      <c r="B389" t="s">
        <v>58</v>
      </c>
      <c r="C389" t="s">
        <v>399</v>
      </c>
      <c r="D389">
        <v>500</v>
      </c>
      <c r="E389">
        <v>2093</v>
      </c>
      <c r="F389">
        <v>0</v>
      </c>
    </row>
    <row r="390" spans="1:6" hidden="1" x14ac:dyDescent="0.25">
      <c r="A390" t="s">
        <v>311</v>
      </c>
      <c r="B390" t="s">
        <v>58</v>
      </c>
      <c r="C390" t="s">
        <v>400</v>
      </c>
      <c r="D390">
        <v>700</v>
      </c>
      <c r="E390">
        <v>3147</v>
      </c>
      <c r="F390">
        <v>0.01</v>
      </c>
    </row>
    <row r="391" spans="1:6" hidden="1" x14ac:dyDescent="0.25">
      <c r="A391" t="s">
        <v>311</v>
      </c>
      <c r="B391" t="s">
        <v>58</v>
      </c>
      <c r="C391" t="s">
        <v>401</v>
      </c>
      <c r="D391">
        <v>800</v>
      </c>
      <c r="E391">
        <v>3497</v>
      </c>
      <c r="F391">
        <v>0.01</v>
      </c>
    </row>
    <row r="392" spans="1:6" hidden="1" x14ac:dyDescent="0.25">
      <c r="A392" t="s">
        <v>311</v>
      </c>
      <c r="B392" t="s">
        <v>58</v>
      </c>
      <c r="C392" t="s">
        <v>402</v>
      </c>
      <c r="D392">
        <v>1000</v>
      </c>
      <c r="E392">
        <v>4408</v>
      </c>
      <c r="F392">
        <v>0.01</v>
      </c>
    </row>
    <row r="393" spans="1:6" hidden="1" x14ac:dyDescent="0.25">
      <c r="A393" t="s">
        <v>311</v>
      </c>
      <c r="B393" t="s">
        <v>58</v>
      </c>
      <c r="C393" t="s">
        <v>403</v>
      </c>
      <c r="D393">
        <v>300</v>
      </c>
      <c r="E393">
        <v>1295</v>
      </c>
      <c r="F393">
        <v>0.01</v>
      </c>
    </row>
    <row r="394" spans="1:6" hidden="1" x14ac:dyDescent="0.25">
      <c r="A394" t="s">
        <v>311</v>
      </c>
      <c r="B394" t="s">
        <v>58</v>
      </c>
      <c r="C394" t="s">
        <v>404</v>
      </c>
      <c r="D394">
        <v>500</v>
      </c>
      <c r="E394">
        <v>2104</v>
      </c>
      <c r="F394">
        <v>0.01</v>
      </c>
    </row>
    <row r="395" spans="1:6" hidden="1" x14ac:dyDescent="0.25">
      <c r="A395" t="s">
        <v>311</v>
      </c>
      <c r="B395" t="s">
        <v>58</v>
      </c>
      <c r="C395" t="s">
        <v>405</v>
      </c>
      <c r="D395">
        <v>700</v>
      </c>
      <c r="E395">
        <v>3156</v>
      </c>
      <c r="F395">
        <v>0.01</v>
      </c>
    </row>
    <row r="396" spans="1:6" hidden="1" x14ac:dyDescent="0.25">
      <c r="A396" t="s">
        <v>311</v>
      </c>
      <c r="B396" t="s">
        <v>58</v>
      </c>
      <c r="C396" t="s">
        <v>406</v>
      </c>
      <c r="D396">
        <v>800</v>
      </c>
      <c r="E396">
        <v>3658</v>
      </c>
      <c r="F396">
        <v>0.01</v>
      </c>
    </row>
    <row r="397" spans="1:6" hidden="1" x14ac:dyDescent="0.25">
      <c r="A397" t="s">
        <v>311</v>
      </c>
      <c r="B397" t="s">
        <v>58</v>
      </c>
      <c r="C397" t="s">
        <v>407</v>
      </c>
      <c r="D397">
        <v>1000</v>
      </c>
      <c r="E397">
        <v>4443</v>
      </c>
      <c r="F397">
        <v>0.01</v>
      </c>
    </row>
    <row r="398" spans="1:6" hidden="1" x14ac:dyDescent="0.25">
      <c r="A398" t="s">
        <v>311</v>
      </c>
      <c r="B398" t="s">
        <v>58</v>
      </c>
      <c r="C398" t="s">
        <v>408</v>
      </c>
      <c r="D398">
        <v>300</v>
      </c>
      <c r="E398">
        <v>1269</v>
      </c>
      <c r="F398">
        <v>0</v>
      </c>
    </row>
    <row r="399" spans="1:6" hidden="1" x14ac:dyDescent="0.25">
      <c r="A399" t="s">
        <v>311</v>
      </c>
      <c r="B399" t="s">
        <v>58</v>
      </c>
      <c r="C399" t="s">
        <v>409</v>
      </c>
      <c r="D399">
        <v>500</v>
      </c>
      <c r="E399">
        <v>2072</v>
      </c>
      <c r="F399">
        <v>0.01</v>
      </c>
    </row>
    <row r="400" spans="1:6" hidden="1" x14ac:dyDescent="0.25">
      <c r="A400" t="s">
        <v>311</v>
      </c>
      <c r="B400" t="s">
        <v>58</v>
      </c>
      <c r="C400" t="s">
        <v>410</v>
      </c>
      <c r="D400">
        <v>700</v>
      </c>
      <c r="E400">
        <v>3062</v>
      </c>
      <c r="F400">
        <v>0.01</v>
      </c>
    </row>
    <row r="401" spans="1:6" hidden="1" x14ac:dyDescent="0.25">
      <c r="A401" t="s">
        <v>311</v>
      </c>
      <c r="B401" t="s">
        <v>58</v>
      </c>
      <c r="C401" t="s">
        <v>411</v>
      </c>
      <c r="D401">
        <v>800</v>
      </c>
      <c r="E401">
        <v>3433</v>
      </c>
      <c r="F401">
        <v>0.01</v>
      </c>
    </row>
    <row r="402" spans="1:6" hidden="1" x14ac:dyDescent="0.25">
      <c r="A402" t="s">
        <v>311</v>
      </c>
      <c r="B402" t="s">
        <v>109</v>
      </c>
      <c r="C402" t="s">
        <v>412</v>
      </c>
      <c r="D402">
        <v>1000</v>
      </c>
      <c r="E402">
        <v>5314</v>
      </c>
      <c r="F402">
        <v>0.01</v>
      </c>
    </row>
    <row r="403" spans="1:6" hidden="1" x14ac:dyDescent="0.25">
      <c r="A403" t="s">
        <v>311</v>
      </c>
      <c r="B403" t="s">
        <v>109</v>
      </c>
      <c r="C403" t="s">
        <v>413</v>
      </c>
      <c r="D403">
        <v>300</v>
      </c>
      <c r="E403">
        <v>1590</v>
      </c>
      <c r="F403">
        <v>0</v>
      </c>
    </row>
    <row r="404" spans="1:6" hidden="1" x14ac:dyDescent="0.25">
      <c r="A404" t="s">
        <v>311</v>
      </c>
      <c r="B404" t="s">
        <v>109</v>
      </c>
      <c r="C404" t="s">
        <v>414</v>
      </c>
      <c r="D404">
        <v>500</v>
      </c>
      <c r="E404">
        <v>2752</v>
      </c>
      <c r="F404">
        <v>0</v>
      </c>
    </row>
    <row r="405" spans="1:6" hidden="1" x14ac:dyDescent="0.25">
      <c r="A405" t="s">
        <v>311</v>
      </c>
      <c r="B405" t="s">
        <v>109</v>
      </c>
      <c r="C405" t="s">
        <v>415</v>
      </c>
      <c r="D405">
        <v>700</v>
      </c>
      <c r="E405">
        <v>3665</v>
      </c>
      <c r="F405">
        <v>0.01</v>
      </c>
    </row>
    <row r="406" spans="1:6" hidden="1" x14ac:dyDescent="0.25">
      <c r="A406" t="s">
        <v>311</v>
      </c>
      <c r="B406" t="s">
        <v>109</v>
      </c>
      <c r="C406" t="s">
        <v>416</v>
      </c>
      <c r="D406">
        <v>800</v>
      </c>
      <c r="E406">
        <v>4159</v>
      </c>
      <c r="F406">
        <v>0.01</v>
      </c>
    </row>
    <row r="407" spans="1:6" hidden="1" x14ac:dyDescent="0.25">
      <c r="A407" t="s">
        <v>311</v>
      </c>
      <c r="B407" t="s">
        <v>109</v>
      </c>
      <c r="C407" t="s">
        <v>417</v>
      </c>
      <c r="D407">
        <v>1000</v>
      </c>
      <c r="E407">
        <v>5136</v>
      </c>
      <c r="F407">
        <v>0.01</v>
      </c>
    </row>
    <row r="408" spans="1:6" hidden="1" x14ac:dyDescent="0.25">
      <c r="A408" t="s">
        <v>311</v>
      </c>
      <c r="B408" t="s">
        <v>109</v>
      </c>
      <c r="C408" t="s">
        <v>418</v>
      </c>
      <c r="D408">
        <v>300</v>
      </c>
      <c r="E408">
        <v>1612</v>
      </c>
      <c r="F408">
        <v>0</v>
      </c>
    </row>
    <row r="409" spans="1:6" hidden="1" x14ac:dyDescent="0.25">
      <c r="A409" t="s">
        <v>311</v>
      </c>
      <c r="B409" t="s">
        <v>109</v>
      </c>
      <c r="C409" t="s">
        <v>419</v>
      </c>
      <c r="D409">
        <v>500</v>
      </c>
      <c r="E409">
        <v>2586</v>
      </c>
      <c r="F409">
        <v>0.01</v>
      </c>
    </row>
    <row r="410" spans="1:6" hidden="1" x14ac:dyDescent="0.25">
      <c r="A410" t="s">
        <v>311</v>
      </c>
      <c r="B410" t="s">
        <v>109</v>
      </c>
      <c r="C410" t="s">
        <v>420</v>
      </c>
      <c r="D410">
        <v>700</v>
      </c>
      <c r="E410">
        <v>3542</v>
      </c>
      <c r="F410">
        <v>0.01</v>
      </c>
    </row>
    <row r="411" spans="1:6" hidden="1" x14ac:dyDescent="0.25">
      <c r="A411" t="s">
        <v>311</v>
      </c>
      <c r="B411" t="s">
        <v>109</v>
      </c>
      <c r="C411" t="s">
        <v>421</v>
      </c>
      <c r="D411">
        <v>800</v>
      </c>
      <c r="E411">
        <v>4068</v>
      </c>
      <c r="F411">
        <v>0.01</v>
      </c>
    </row>
    <row r="412" spans="1:6" hidden="1" x14ac:dyDescent="0.25">
      <c r="A412" t="s">
        <v>311</v>
      </c>
      <c r="B412" t="s">
        <v>109</v>
      </c>
      <c r="C412" t="s">
        <v>422</v>
      </c>
      <c r="D412">
        <v>1000</v>
      </c>
      <c r="E412">
        <v>5060</v>
      </c>
      <c r="F412">
        <v>0.01</v>
      </c>
    </row>
    <row r="413" spans="1:6" hidden="1" x14ac:dyDescent="0.25">
      <c r="A413" t="s">
        <v>311</v>
      </c>
      <c r="B413" t="s">
        <v>109</v>
      </c>
      <c r="C413" t="s">
        <v>423</v>
      </c>
      <c r="D413">
        <v>300</v>
      </c>
      <c r="E413">
        <v>1605</v>
      </c>
      <c r="F413">
        <v>0.01</v>
      </c>
    </row>
    <row r="414" spans="1:6" hidden="1" x14ac:dyDescent="0.25">
      <c r="A414" t="s">
        <v>311</v>
      </c>
      <c r="B414" t="s">
        <v>109</v>
      </c>
      <c r="C414" t="s">
        <v>424</v>
      </c>
      <c r="D414">
        <v>500</v>
      </c>
      <c r="E414">
        <v>2633</v>
      </c>
      <c r="F414">
        <v>0.01</v>
      </c>
    </row>
    <row r="415" spans="1:6" hidden="1" x14ac:dyDescent="0.25">
      <c r="A415" t="s">
        <v>311</v>
      </c>
      <c r="B415" t="s">
        <v>109</v>
      </c>
      <c r="C415" t="s">
        <v>425</v>
      </c>
      <c r="D415">
        <v>700</v>
      </c>
      <c r="E415">
        <v>3546</v>
      </c>
      <c r="F415">
        <v>0.01</v>
      </c>
    </row>
    <row r="416" spans="1:6" hidden="1" x14ac:dyDescent="0.25">
      <c r="A416" t="s">
        <v>311</v>
      </c>
      <c r="B416" t="s">
        <v>109</v>
      </c>
      <c r="C416" t="s">
        <v>426</v>
      </c>
      <c r="D416">
        <v>800</v>
      </c>
      <c r="E416">
        <v>4097</v>
      </c>
      <c r="F416">
        <v>0.01</v>
      </c>
    </row>
    <row r="417" spans="1:6" hidden="1" x14ac:dyDescent="0.25">
      <c r="A417" t="s">
        <v>311</v>
      </c>
      <c r="B417" t="s">
        <v>109</v>
      </c>
      <c r="C417" t="s">
        <v>427</v>
      </c>
      <c r="D417">
        <v>1000</v>
      </c>
      <c r="E417">
        <v>5411</v>
      </c>
      <c r="F417">
        <v>0.01</v>
      </c>
    </row>
    <row r="418" spans="1:6" hidden="1" x14ac:dyDescent="0.25">
      <c r="A418" t="s">
        <v>311</v>
      </c>
      <c r="B418" t="s">
        <v>109</v>
      </c>
      <c r="C418" t="s">
        <v>428</v>
      </c>
      <c r="D418">
        <v>300</v>
      </c>
      <c r="E418">
        <v>1501</v>
      </c>
      <c r="F418">
        <v>0</v>
      </c>
    </row>
    <row r="419" spans="1:6" hidden="1" x14ac:dyDescent="0.25">
      <c r="A419" t="s">
        <v>311</v>
      </c>
      <c r="B419" t="s">
        <v>109</v>
      </c>
      <c r="C419" t="s">
        <v>429</v>
      </c>
      <c r="D419">
        <v>500</v>
      </c>
      <c r="E419">
        <v>2646</v>
      </c>
      <c r="F419">
        <v>0.01</v>
      </c>
    </row>
    <row r="420" spans="1:6" hidden="1" x14ac:dyDescent="0.25">
      <c r="A420" t="s">
        <v>311</v>
      </c>
      <c r="B420" t="s">
        <v>109</v>
      </c>
      <c r="C420" t="s">
        <v>430</v>
      </c>
      <c r="D420">
        <v>700</v>
      </c>
      <c r="E420">
        <v>3592</v>
      </c>
      <c r="F420">
        <v>0.01</v>
      </c>
    </row>
    <row r="421" spans="1:6" hidden="1" x14ac:dyDescent="0.25">
      <c r="A421" t="s">
        <v>311</v>
      </c>
      <c r="B421" t="s">
        <v>109</v>
      </c>
      <c r="C421" t="s">
        <v>431</v>
      </c>
      <c r="D421">
        <v>800</v>
      </c>
      <c r="E421">
        <v>3955</v>
      </c>
      <c r="F421">
        <v>0.01</v>
      </c>
    </row>
    <row r="422" spans="1:6" hidden="1" x14ac:dyDescent="0.25">
      <c r="A422" t="s">
        <v>311</v>
      </c>
      <c r="B422" t="s">
        <v>109</v>
      </c>
      <c r="C422" t="s">
        <v>432</v>
      </c>
      <c r="D422">
        <v>1000</v>
      </c>
      <c r="E422">
        <v>5263</v>
      </c>
      <c r="F422">
        <v>0.01</v>
      </c>
    </row>
    <row r="423" spans="1:6" hidden="1" x14ac:dyDescent="0.25">
      <c r="A423" t="s">
        <v>311</v>
      </c>
      <c r="B423" t="s">
        <v>109</v>
      </c>
      <c r="C423" t="s">
        <v>433</v>
      </c>
      <c r="D423">
        <v>300</v>
      </c>
      <c r="E423">
        <v>1761</v>
      </c>
      <c r="F423">
        <v>0</v>
      </c>
    </row>
    <row r="424" spans="1:6" hidden="1" x14ac:dyDescent="0.25">
      <c r="A424" t="s">
        <v>311</v>
      </c>
      <c r="B424" t="s">
        <v>109</v>
      </c>
      <c r="C424" t="s">
        <v>434</v>
      </c>
      <c r="D424">
        <v>500</v>
      </c>
      <c r="E424">
        <v>2441</v>
      </c>
      <c r="F424">
        <v>0.01</v>
      </c>
    </row>
    <row r="425" spans="1:6" hidden="1" x14ac:dyDescent="0.25">
      <c r="A425" t="s">
        <v>311</v>
      </c>
      <c r="B425" t="s">
        <v>109</v>
      </c>
      <c r="C425" t="s">
        <v>435</v>
      </c>
      <c r="D425">
        <v>700</v>
      </c>
      <c r="E425">
        <v>3442</v>
      </c>
      <c r="F425">
        <v>0.01</v>
      </c>
    </row>
    <row r="426" spans="1:6" hidden="1" x14ac:dyDescent="0.25">
      <c r="A426" t="s">
        <v>311</v>
      </c>
      <c r="B426" t="s">
        <v>109</v>
      </c>
      <c r="C426" t="s">
        <v>436</v>
      </c>
      <c r="D426">
        <v>800</v>
      </c>
      <c r="E426">
        <v>4258</v>
      </c>
      <c r="F426">
        <v>0.01</v>
      </c>
    </row>
    <row r="427" spans="1:6" hidden="1" x14ac:dyDescent="0.25">
      <c r="A427" t="s">
        <v>311</v>
      </c>
      <c r="B427" t="s">
        <v>109</v>
      </c>
      <c r="C427" t="s">
        <v>437</v>
      </c>
      <c r="D427">
        <v>1000</v>
      </c>
      <c r="E427">
        <v>4999</v>
      </c>
      <c r="F427">
        <v>0.01</v>
      </c>
    </row>
    <row r="428" spans="1:6" hidden="1" x14ac:dyDescent="0.25">
      <c r="A428" t="s">
        <v>311</v>
      </c>
      <c r="B428" t="s">
        <v>109</v>
      </c>
      <c r="C428" t="s">
        <v>438</v>
      </c>
      <c r="D428">
        <v>300</v>
      </c>
      <c r="E428">
        <v>1571</v>
      </c>
      <c r="F428">
        <v>0</v>
      </c>
    </row>
    <row r="429" spans="1:6" hidden="1" x14ac:dyDescent="0.25">
      <c r="A429" t="s">
        <v>311</v>
      </c>
      <c r="B429" t="s">
        <v>109</v>
      </c>
      <c r="C429" t="s">
        <v>439</v>
      </c>
      <c r="D429">
        <v>500</v>
      </c>
      <c r="E429">
        <v>2572</v>
      </c>
      <c r="F429">
        <v>0</v>
      </c>
    </row>
    <row r="430" spans="1:6" hidden="1" x14ac:dyDescent="0.25">
      <c r="A430" t="s">
        <v>311</v>
      </c>
      <c r="B430" t="s">
        <v>109</v>
      </c>
      <c r="C430" t="s">
        <v>440</v>
      </c>
      <c r="D430">
        <v>700</v>
      </c>
      <c r="E430">
        <v>3632</v>
      </c>
      <c r="F430">
        <v>0.01</v>
      </c>
    </row>
    <row r="431" spans="1:6" hidden="1" x14ac:dyDescent="0.25">
      <c r="A431" t="s">
        <v>311</v>
      </c>
      <c r="B431" t="s">
        <v>109</v>
      </c>
      <c r="C431" t="s">
        <v>441</v>
      </c>
      <c r="D431">
        <v>800</v>
      </c>
      <c r="E431">
        <v>4018</v>
      </c>
      <c r="F431">
        <v>0.01</v>
      </c>
    </row>
    <row r="432" spans="1:6" hidden="1" x14ac:dyDescent="0.25">
      <c r="A432" t="s">
        <v>311</v>
      </c>
      <c r="B432" t="s">
        <v>109</v>
      </c>
      <c r="C432" t="s">
        <v>442</v>
      </c>
      <c r="D432">
        <v>1000</v>
      </c>
      <c r="E432">
        <v>5346</v>
      </c>
      <c r="F432">
        <v>0.01</v>
      </c>
    </row>
    <row r="433" spans="1:6" hidden="1" x14ac:dyDescent="0.25">
      <c r="A433" t="s">
        <v>311</v>
      </c>
      <c r="B433" t="s">
        <v>109</v>
      </c>
      <c r="C433" t="s">
        <v>443</v>
      </c>
      <c r="D433">
        <v>300</v>
      </c>
      <c r="E433">
        <v>1644</v>
      </c>
      <c r="F433">
        <v>0.01</v>
      </c>
    </row>
    <row r="434" spans="1:6" hidden="1" x14ac:dyDescent="0.25">
      <c r="A434" t="s">
        <v>311</v>
      </c>
      <c r="B434" t="s">
        <v>109</v>
      </c>
      <c r="C434" t="s">
        <v>444</v>
      </c>
      <c r="D434">
        <v>500</v>
      </c>
      <c r="E434">
        <v>2557</v>
      </c>
      <c r="F434">
        <v>0.01</v>
      </c>
    </row>
    <row r="435" spans="1:6" hidden="1" x14ac:dyDescent="0.25">
      <c r="A435" t="s">
        <v>311</v>
      </c>
      <c r="B435" t="s">
        <v>109</v>
      </c>
      <c r="C435" t="s">
        <v>445</v>
      </c>
      <c r="D435">
        <v>700</v>
      </c>
      <c r="E435">
        <v>3656</v>
      </c>
      <c r="F435">
        <v>0.01</v>
      </c>
    </row>
    <row r="436" spans="1:6" hidden="1" x14ac:dyDescent="0.25">
      <c r="A436" t="s">
        <v>311</v>
      </c>
      <c r="B436" t="s">
        <v>109</v>
      </c>
      <c r="C436" t="s">
        <v>446</v>
      </c>
      <c r="D436">
        <v>800</v>
      </c>
      <c r="E436">
        <v>4204</v>
      </c>
      <c r="F436">
        <v>0.01</v>
      </c>
    </row>
    <row r="437" spans="1:6" hidden="1" x14ac:dyDescent="0.25">
      <c r="A437" t="s">
        <v>311</v>
      </c>
      <c r="B437" t="s">
        <v>109</v>
      </c>
      <c r="C437" t="s">
        <v>447</v>
      </c>
      <c r="D437">
        <v>1000</v>
      </c>
      <c r="E437">
        <v>5311</v>
      </c>
      <c r="F437">
        <v>0.01</v>
      </c>
    </row>
    <row r="438" spans="1:6" hidden="1" x14ac:dyDescent="0.25">
      <c r="A438" t="s">
        <v>311</v>
      </c>
      <c r="B438" t="s">
        <v>109</v>
      </c>
      <c r="C438" t="s">
        <v>448</v>
      </c>
      <c r="D438">
        <v>300</v>
      </c>
      <c r="E438">
        <v>1561</v>
      </c>
      <c r="F438">
        <v>0</v>
      </c>
    </row>
    <row r="439" spans="1:6" hidden="1" x14ac:dyDescent="0.25">
      <c r="A439" t="s">
        <v>311</v>
      </c>
      <c r="B439" t="s">
        <v>109</v>
      </c>
      <c r="C439" t="s">
        <v>449</v>
      </c>
      <c r="D439">
        <v>500</v>
      </c>
      <c r="E439">
        <v>2738</v>
      </c>
      <c r="F439">
        <v>0.01</v>
      </c>
    </row>
    <row r="440" spans="1:6" hidden="1" x14ac:dyDescent="0.25">
      <c r="A440" t="s">
        <v>311</v>
      </c>
      <c r="B440" t="s">
        <v>109</v>
      </c>
      <c r="C440" t="s">
        <v>450</v>
      </c>
      <c r="D440">
        <v>700</v>
      </c>
      <c r="E440">
        <v>3706</v>
      </c>
      <c r="F440">
        <v>0.01</v>
      </c>
    </row>
    <row r="441" spans="1:6" hidden="1" x14ac:dyDescent="0.25">
      <c r="A441" t="s">
        <v>311</v>
      </c>
      <c r="B441" t="s">
        <v>109</v>
      </c>
      <c r="C441" t="s">
        <v>451</v>
      </c>
      <c r="D441">
        <v>800</v>
      </c>
      <c r="E441">
        <v>4030</v>
      </c>
      <c r="F441">
        <v>0.01</v>
      </c>
    </row>
    <row r="442" spans="1:6" hidden="1" x14ac:dyDescent="0.25">
      <c r="A442" t="s">
        <v>311</v>
      </c>
      <c r="B442" t="s">
        <v>109</v>
      </c>
      <c r="C442" t="s">
        <v>452</v>
      </c>
      <c r="D442">
        <v>1000</v>
      </c>
      <c r="E442">
        <v>5337</v>
      </c>
      <c r="F442">
        <v>0.01</v>
      </c>
    </row>
    <row r="443" spans="1:6" hidden="1" x14ac:dyDescent="0.25">
      <c r="A443" t="s">
        <v>311</v>
      </c>
      <c r="B443" t="s">
        <v>109</v>
      </c>
      <c r="C443" t="s">
        <v>453</v>
      </c>
      <c r="D443">
        <v>300</v>
      </c>
      <c r="E443">
        <v>1591</v>
      </c>
      <c r="F443">
        <v>0.01</v>
      </c>
    </row>
    <row r="444" spans="1:6" hidden="1" x14ac:dyDescent="0.25">
      <c r="A444" t="s">
        <v>311</v>
      </c>
      <c r="B444" t="s">
        <v>109</v>
      </c>
      <c r="C444" t="s">
        <v>454</v>
      </c>
      <c r="D444">
        <v>500</v>
      </c>
      <c r="E444">
        <v>2688</v>
      </c>
      <c r="F444">
        <v>0.01</v>
      </c>
    </row>
    <row r="445" spans="1:6" hidden="1" x14ac:dyDescent="0.25">
      <c r="A445" t="s">
        <v>311</v>
      </c>
      <c r="B445" t="s">
        <v>109</v>
      </c>
      <c r="C445" t="s">
        <v>455</v>
      </c>
      <c r="D445">
        <v>700</v>
      </c>
      <c r="E445">
        <v>3942</v>
      </c>
      <c r="F445">
        <v>0.01</v>
      </c>
    </row>
    <row r="446" spans="1:6" hidden="1" x14ac:dyDescent="0.25">
      <c r="A446" t="s">
        <v>311</v>
      </c>
      <c r="B446" t="s">
        <v>109</v>
      </c>
      <c r="C446" t="s">
        <v>456</v>
      </c>
      <c r="D446">
        <v>800</v>
      </c>
      <c r="E446">
        <v>4176</v>
      </c>
      <c r="F446">
        <v>0.01</v>
      </c>
    </row>
    <row r="447" spans="1:6" hidden="1" x14ac:dyDescent="0.25">
      <c r="A447" t="s">
        <v>311</v>
      </c>
      <c r="B447" t="s">
        <v>109</v>
      </c>
      <c r="C447" t="s">
        <v>457</v>
      </c>
      <c r="D447">
        <v>1000</v>
      </c>
      <c r="E447">
        <v>5163</v>
      </c>
      <c r="F447">
        <v>0.01</v>
      </c>
    </row>
    <row r="448" spans="1:6" hidden="1" x14ac:dyDescent="0.25">
      <c r="A448" t="s">
        <v>311</v>
      </c>
      <c r="B448" t="s">
        <v>109</v>
      </c>
      <c r="C448" t="s">
        <v>458</v>
      </c>
      <c r="D448">
        <v>300</v>
      </c>
      <c r="E448">
        <v>1600</v>
      </c>
      <c r="F448">
        <v>0</v>
      </c>
    </row>
    <row r="449" spans="1:6" hidden="1" x14ac:dyDescent="0.25">
      <c r="A449" t="s">
        <v>311</v>
      </c>
      <c r="B449" t="s">
        <v>109</v>
      </c>
      <c r="C449" t="s">
        <v>459</v>
      </c>
      <c r="D449">
        <v>500</v>
      </c>
      <c r="E449">
        <v>2506</v>
      </c>
      <c r="F449">
        <v>0.01</v>
      </c>
    </row>
    <row r="450" spans="1:6" hidden="1" x14ac:dyDescent="0.25">
      <c r="A450" t="s">
        <v>311</v>
      </c>
      <c r="B450" t="s">
        <v>109</v>
      </c>
      <c r="C450" t="s">
        <v>460</v>
      </c>
      <c r="D450">
        <v>700</v>
      </c>
      <c r="E450">
        <v>3658</v>
      </c>
      <c r="F450">
        <v>0.01</v>
      </c>
    </row>
    <row r="451" spans="1:6" hidden="1" x14ac:dyDescent="0.25">
      <c r="A451" t="s">
        <v>311</v>
      </c>
      <c r="B451" t="s">
        <v>109</v>
      </c>
      <c r="C451" t="s">
        <v>461</v>
      </c>
      <c r="D451">
        <v>800</v>
      </c>
      <c r="E451">
        <v>4069</v>
      </c>
      <c r="F451">
        <v>0.01</v>
      </c>
    </row>
    <row r="452" spans="1:6" hidden="1" x14ac:dyDescent="0.25">
      <c r="A452" t="s">
        <v>462</v>
      </c>
      <c r="B452" t="s">
        <v>7</v>
      </c>
      <c r="C452" t="s">
        <v>463</v>
      </c>
      <c r="D452">
        <v>1000</v>
      </c>
      <c r="E452">
        <v>4299</v>
      </c>
      <c r="F452">
        <v>0.01</v>
      </c>
    </row>
    <row r="453" spans="1:6" hidden="1" x14ac:dyDescent="0.25">
      <c r="A453" t="s">
        <v>462</v>
      </c>
      <c r="B453" t="s">
        <v>7</v>
      </c>
      <c r="C453" t="s">
        <v>464</v>
      </c>
      <c r="D453">
        <v>300</v>
      </c>
      <c r="E453">
        <v>1304</v>
      </c>
      <c r="F453">
        <v>0.01</v>
      </c>
    </row>
    <row r="454" spans="1:6" hidden="1" x14ac:dyDescent="0.25">
      <c r="A454" t="s">
        <v>462</v>
      </c>
      <c r="B454" t="s">
        <v>7</v>
      </c>
      <c r="C454" t="s">
        <v>465</v>
      </c>
      <c r="D454">
        <v>500</v>
      </c>
      <c r="E454">
        <v>2157</v>
      </c>
      <c r="F454">
        <v>0.01</v>
      </c>
    </row>
    <row r="455" spans="1:6" hidden="1" x14ac:dyDescent="0.25">
      <c r="A455" t="s">
        <v>462</v>
      </c>
      <c r="B455" t="s">
        <v>7</v>
      </c>
      <c r="C455" t="s">
        <v>466</v>
      </c>
      <c r="D455">
        <v>700</v>
      </c>
      <c r="E455">
        <v>2984</v>
      </c>
      <c r="F455">
        <v>0.01</v>
      </c>
    </row>
    <row r="456" spans="1:6" hidden="1" x14ac:dyDescent="0.25">
      <c r="A456" t="s">
        <v>462</v>
      </c>
      <c r="B456" t="s">
        <v>7</v>
      </c>
      <c r="C456" t="s">
        <v>467</v>
      </c>
      <c r="D456">
        <v>800</v>
      </c>
      <c r="E456">
        <v>3479</v>
      </c>
      <c r="F456">
        <v>0.01</v>
      </c>
    </row>
    <row r="457" spans="1:6" hidden="1" x14ac:dyDescent="0.25">
      <c r="A457" t="s">
        <v>462</v>
      </c>
      <c r="B457" t="s">
        <v>7</v>
      </c>
      <c r="C457" t="s">
        <v>468</v>
      </c>
      <c r="D457">
        <v>1000</v>
      </c>
      <c r="E457">
        <v>4460</v>
      </c>
      <c r="F457">
        <v>0.01</v>
      </c>
    </row>
    <row r="458" spans="1:6" hidden="1" x14ac:dyDescent="0.25">
      <c r="A458" t="s">
        <v>462</v>
      </c>
      <c r="B458" t="s">
        <v>7</v>
      </c>
      <c r="C458" t="s">
        <v>469</v>
      </c>
      <c r="D458">
        <v>300</v>
      </c>
      <c r="E458">
        <v>1244</v>
      </c>
      <c r="F458">
        <v>0.01</v>
      </c>
    </row>
    <row r="459" spans="1:6" hidden="1" x14ac:dyDescent="0.25">
      <c r="A459" t="s">
        <v>462</v>
      </c>
      <c r="B459" t="s">
        <v>7</v>
      </c>
      <c r="C459" t="s">
        <v>470</v>
      </c>
      <c r="D459">
        <v>500</v>
      </c>
      <c r="E459">
        <v>2160</v>
      </c>
      <c r="F459">
        <v>0.02</v>
      </c>
    </row>
    <row r="460" spans="1:6" hidden="1" x14ac:dyDescent="0.25">
      <c r="A460" t="s">
        <v>462</v>
      </c>
      <c r="B460" t="s">
        <v>7</v>
      </c>
      <c r="C460" t="s">
        <v>471</v>
      </c>
      <c r="D460">
        <v>700</v>
      </c>
      <c r="E460">
        <v>3026</v>
      </c>
      <c r="F460">
        <v>0.01</v>
      </c>
    </row>
    <row r="461" spans="1:6" hidden="1" x14ac:dyDescent="0.25">
      <c r="A461" t="s">
        <v>462</v>
      </c>
      <c r="B461" t="s">
        <v>7</v>
      </c>
      <c r="C461" t="s">
        <v>472</v>
      </c>
      <c r="D461">
        <v>800</v>
      </c>
      <c r="E461">
        <v>3221</v>
      </c>
      <c r="F461">
        <v>0</v>
      </c>
    </row>
    <row r="462" spans="1:6" hidden="1" x14ac:dyDescent="0.25">
      <c r="A462" t="s">
        <v>462</v>
      </c>
      <c r="B462" t="s">
        <v>7</v>
      </c>
      <c r="C462" t="s">
        <v>473</v>
      </c>
      <c r="D462">
        <v>1000</v>
      </c>
      <c r="E462">
        <v>4186</v>
      </c>
      <c r="F462">
        <v>0.01</v>
      </c>
    </row>
    <row r="463" spans="1:6" hidden="1" x14ac:dyDescent="0.25">
      <c r="A463" t="s">
        <v>462</v>
      </c>
      <c r="B463" t="s">
        <v>7</v>
      </c>
      <c r="C463" t="s">
        <v>474</v>
      </c>
      <c r="D463">
        <v>300</v>
      </c>
      <c r="E463">
        <v>1349</v>
      </c>
      <c r="F463">
        <v>0.01</v>
      </c>
    </row>
    <row r="464" spans="1:6" hidden="1" x14ac:dyDescent="0.25">
      <c r="A464" t="s">
        <v>462</v>
      </c>
      <c r="B464" t="s">
        <v>7</v>
      </c>
      <c r="C464" t="s">
        <v>475</v>
      </c>
      <c r="D464">
        <v>500</v>
      </c>
      <c r="E464">
        <v>2150</v>
      </c>
      <c r="F464">
        <v>0</v>
      </c>
    </row>
    <row r="465" spans="1:6" hidden="1" x14ac:dyDescent="0.25">
      <c r="A465" t="s">
        <v>462</v>
      </c>
      <c r="B465" t="s">
        <v>7</v>
      </c>
      <c r="C465" t="s">
        <v>476</v>
      </c>
      <c r="D465">
        <v>700</v>
      </c>
      <c r="E465">
        <v>2996</v>
      </c>
      <c r="F465">
        <v>0.01</v>
      </c>
    </row>
    <row r="466" spans="1:6" hidden="1" x14ac:dyDescent="0.25">
      <c r="A466" t="s">
        <v>462</v>
      </c>
      <c r="B466" t="s">
        <v>7</v>
      </c>
      <c r="C466" t="s">
        <v>477</v>
      </c>
      <c r="D466">
        <v>800</v>
      </c>
      <c r="E466">
        <v>3538</v>
      </c>
      <c r="F466">
        <v>0.01</v>
      </c>
    </row>
    <row r="467" spans="1:6" hidden="1" x14ac:dyDescent="0.25">
      <c r="A467" t="s">
        <v>462</v>
      </c>
      <c r="B467" t="s">
        <v>7</v>
      </c>
      <c r="C467" t="s">
        <v>478</v>
      </c>
      <c r="D467">
        <v>1000</v>
      </c>
      <c r="E467">
        <v>4552</v>
      </c>
      <c r="F467">
        <v>0.01</v>
      </c>
    </row>
    <row r="468" spans="1:6" hidden="1" x14ac:dyDescent="0.25">
      <c r="A468" t="s">
        <v>462</v>
      </c>
      <c r="B468" t="s">
        <v>7</v>
      </c>
      <c r="C468" t="s">
        <v>479</v>
      </c>
      <c r="D468">
        <v>300</v>
      </c>
      <c r="E468">
        <v>1296</v>
      </c>
      <c r="F468">
        <v>0</v>
      </c>
    </row>
    <row r="469" spans="1:6" hidden="1" x14ac:dyDescent="0.25">
      <c r="A469" t="s">
        <v>462</v>
      </c>
      <c r="B469" t="s">
        <v>7</v>
      </c>
      <c r="C469" t="s">
        <v>480</v>
      </c>
      <c r="D469">
        <v>500</v>
      </c>
      <c r="E469">
        <v>2173</v>
      </c>
      <c r="F469">
        <v>0</v>
      </c>
    </row>
    <row r="470" spans="1:6" hidden="1" x14ac:dyDescent="0.25">
      <c r="A470" t="s">
        <v>462</v>
      </c>
      <c r="B470" t="s">
        <v>7</v>
      </c>
      <c r="C470" t="s">
        <v>481</v>
      </c>
      <c r="D470">
        <v>700</v>
      </c>
      <c r="E470">
        <v>3033</v>
      </c>
      <c r="F470">
        <v>0.01</v>
      </c>
    </row>
    <row r="471" spans="1:6" hidden="1" x14ac:dyDescent="0.25">
      <c r="A471" t="s">
        <v>462</v>
      </c>
      <c r="B471" t="s">
        <v>7</v>
      </c>
      <c r="C471" t="s">
        <v>482</v>
      </c>
      <c r="D471">
        <v>800</v>
      </c>
      <c r="E471">
        <v>3468</v>
      </c>
      <c r="F471">
        <v>0.03</v>
      </c>
    </row>
    <row r="472" spans="1:6" hidden="1" x14ac:dyDescent="0.25">
      <c r="A472" t="s">
        <v>462</v>
      </c>
      <c r="B472" t="s">
        <v>7</v>
      </c>
      <c r="C472" t="s">
        <v>483</v>
      </c>
      <c r="D472">
        <v>1000</v>
      </c>
      <c r="E472">
        <v>4494</v>
      </c>
      <c r="F472">
        <v>0.01</v>
      </c>
    </row>
    <row r="473" spans="1:6" hidden="1" x14ac:dyDescent="0.25">
      <c r="A473" t="s">
        <v>462</v>
      </c>
      <c r="B473" t="s">
        <v>7</v>
      </c>
      <c r="C473" t="s">
        <v>484</v>
      </c>
      <c r="D473">
        <v>300</v>
      </c>
      <c r="E473">
        <v>1257</v>
      </c>
      <c r="F473">
        <v>0</v>
      </c>
    </row>
    <row r="474" spans="1:6" hidden="1" x14ac:dyDescent="0.25">
      <c r="A474" t="s">
        <v>462</v>
      </c>
      <c r="B474" t="s">
        <v>7</v>
      </c>
      <c r="C474" t="s">
        <v>485</v>
      </c>
      <c r="D474">
        <v>500</v>
      </c>
      <c r="E474">
        <v>2203</v>
      </c>
      <c r="F474">
        <v>0.01</v>
      </c>
    </row>
    <row r="475" spans="1:6" hidden="1" x14ac:dyDescent="0.25">
      <c r="A475" t="s">
        <v>462</v>
      </c>
      <c r="B475" t="s">
        <v>7</v>
      </c>
      <c r="C475" t="s">
        <v>486</v>
      </c>
      <c r="D475">
        <v>700</v>
      </c>
      <c r="E475">
        <v>3027</v>
      </c>
      <c r="F475">
        <v>0.01</v>
      </c>
    </row>
    <row r="476" spans="1:6" hidden="1" x14ac:dyDescent="0.25">
      <c r="A476" t="s">
        <v>462</v>
      </c>
      <c r="B476" t="s">
        <v>7</v>
      </c>
      <c r="C476" t="s">
        <v>487</v>
      </c>
      <c r="D476">
        <v>800</v>
      </c>
      <c r="E476">
        <v>3462</v>
      </c>
      <c r="F476">
        <v>0.01</v>
      </c>
    </row>
    <row r="477" spans="1:6" hidden="1" x14ac:dyDescent="0.25">
      <c r="A477" t="s">
        <v>462</v>
      </c>
      <c r="B477" t="s">
        <v>7</v>
      </c>
      <c r="C477" t="s">
        <v>488</v>
      </c>
      <c r="D477">
        <v>1000</v>
      </c>
      <c r="E477">
        <v>4495</v>
      </c>
      <c r="F477">
        <v>0.01</v>
      </c>
    </row>
    <row r="478" spans="1:6" hidden="1" x14ac:dyDescent="0.25">
      <c r="A478" t="s">
        <v>462</v>
      </c>
      <c r="B478" t="s">
        <v>7</v>
      </c>
      <c r="C478" t="s">
        <v>489</v>
      </c>
      <c r="D478">
        <v>300</v>
      </c>
      <c r="E478">
        <v>1299</v>
      </c>
      <c r="F478">
        <v>0.01</v>
      </c>
    </row>
    <row r="479" spans="1:6" hidden="1" x14ac:dyDescent="0.25">
      <c r="A479" t="s">
        <v>462</v>
      </c>
      <c r="B479" t="s">
        <v>7</v>
      </c>
      <c r="C479" t="s">
        <v>490</v>
      </c>
      <c r="D479">
        <v>500</v>
      </c>
      <c r="E479">
        <v>2352</v>
      </c>
      <c r="F479">
        <v>0.02</v>
      </c>
    </row>
    <row r="480" spans="1:6" hidden="1" x14ac:dyDescent="0.25">
      <c r="A480" t="s">
        <v>462</v>
      </c>
      <c r="B480" t="s">
        <v>7</v>
      </c>
      <c r="C480" t="s">
        <v>491</v>
      </c>
      <c r="D480">
        <v>700</v>
      </c>
      <c r="E480">
        <v>3046</v>
      </c>
      <c r="F480">
        <v>0.01</v>
      </c>
    </row>
    <row r="481" spans="1:6" hidden="1" x14ac:dyDescent="0.25">
      <c r="A481" t="s">
        <v>462</v>
      </c>
      <c r="B481" t="s">
        <v>7</v>
      </c>
      <c r="C481" t="s">
        <v>492</v>
      </c>
      <c r="D481">
        <v>800</v>
      </c>
      <c r="E481">
        <v>3386</v>
      </c>
      <c r="F481">
        <v>0.01</v>
      </c>
    </row>
    <row r="482" spans="1:6" hidden="1" x14ac:dyDescent="0.25">
      <c r="A482" t="s">
        <v>462</v>
      </c>
      <c r="B482" t="s">
        <v>7</v>
      </c>
      <c r="C482" t="s">
        <v>493</v>
      </c>
      <c r="D482">
        <v>1000</v>
      </c>
      <c r="E482">
        <v>4467</v>
      </c>
      <c r="F482">
        <v>0.01</v>
      </c>
    </row>
    <row r="483" spans="1:6" hidden="1" x14ac:dyDescent="0.25">
      <c r="A483" t="s">
        <v>462</v>
      </c>
      <c r="B483" t="s">
        <v>7</v>
      </c>
      <c r="C483" t="s">
        <v>494</v>
      </c>
      <c r="D483">
        <v>300</v>
      </c>
      <c r="E483">
        <v>1248</v>
      </c>
      <c r="F483">
        <v>0</v>
      </c>
    </row>
    <row r="484" spans="1:6" hidden="1" x14ac:dyDescent="0.25">
      <c r="A484" t="s">
        <v>462</v>
      </c>
      <c r="B484" t="s">
        <v>7</v>
      </c>
      <c r="C484" t="s">
        <v>495</v>
      </c>
      <c r="D484">
        <v>500</v>
      </c>
      <c r="E484">
        <v>2110</v>
      </c>
      <c r="F484">
        <v>0.01</v>
      </c>
    </row>
    <row r="485" spans="1:6" hidden="1" x14ac:dyDescent="0.25">
      <c r="A485" t="s">
        <v>462</v>
      </c>
      <c r="B485" t="s">
        <v>7</v>
      </c>
      <c r="C485" t="s">
        <v>496</v>
      </c>
      <c r="D485">
        <v>700</v>
      </c>
      <c r="E485">
        <v>3037</v>
      </c>
      <c r="F485">
        <v>0</v>
      </c>
    </row>
    <row r="486" spans="1:6" hidden="1" x14ac:dyDescent="0.25">
      <c r="A486" t="s">
        <v>462</v>
      </c>
      <c r="B486" t="s">
        <v>7</v>
      </c>
      <c r="C486" t="s">
        <v>497</v>
      </c>
      <c r="D486">
        <v>800</v>
      </c>
      <c r="E486">
        <v>3393</v>
      </c>
      <c r="F486">
        <v>0.01</v>
      </c>
    </row>
    <row r="487" spans="1:6" hidden="1" x14ac:dyDescent="0.25">
      <c r="A487" t="s">
        <v>462</v>
      </c>
      <c r="B487" t="s">
        <v>7</v>
      </c>
      <c r="C487" t="s">
        <v>498</v>
      </c>
      <c r="D487">
        <v>1000</v>
      </c>
      <c r="E487">
        <v>4339</v>
      </c>
      <c r="F487">
        <v>0.01</v>
      </c>
    </row>
    <row r="488" spans="1:6" hidden="1" x14ac:dyDescent="0.25">
      <c r="A488" t="s">
        <v>462</v>
      </c>
      <c r="B488" t="s">
        <v>7</v>
      </c>
      <c r="C488" t="s">
        <v>499</v>
      </c>
      <c r="D488">
        <v>300</v>
      </c>
      <c r="E488">
        <v>1295</v>
      </c>
      <c r="F488">
        <v>0</v>
      </c>
    </row>
    <row r="489" spans="1:6" hidden="1" x14ac:dyDescent="0.25">
      <c r="A489" t="s">
        <v>462</v>
      </c>
      <c r="B489" t="s">
        <v>7</v>
      </c>
      <c r="C489" t="s">
        <v>500</v>
      </c>
      <c r="D489">
        <v>500</v>
      </c>
      <c r="E489">
        <v>2117</v>
      </c>
      <c r="F489">
        <v>0.01</v>
      </c>
    </row>
    <row r="490" spans="1:6" hidden="1" x14ac:dyDescent="0.25">
      <c r="A490" t="s">
        <v>462</v>
      </c>
      <c r="B490" t="s">
        <v>7</v>
      </c>
      <c r="C490" t="s">
        <v>501</v>
      </c>
      <c r="D490">
        <v>700</v>
      </c>
      <c r="E490">
        <v>3172</v>
      </c>
      <c r="F490">
        <v>0.01</v>
      </c>
    </row>
    <row r="491" spans="1:6" hidden="1" x14ac:dyDescent="0.25">
      <c r="A491" t="s">
        <v>462</v>
      </c>
      <c r="B491" t="s">
        <v>7</v>
      </c>
      <c r="C491" t="s">
        <v>502</v>
      </c>
      <c r="D491">
        <v>800</v>
      </c>
      <c r="E491">
        <v>3426</v>
      </c>
      <c r="F491">
        <v>0.01</v>
      </c>
    </row>
    <row r="492" spans="1:6" hidden="1" x14ac:dyDescent="0.25">
      <c r="A492" t="s">
        <v>462</v>
      </c>
      <c r="B492" t="s">
        <v>7</v>
      </c>
      <c r="C492" t="s">
        <v>503</v>
      </c>
      <c r="D492">
        <v>1000</v>
      </c>
      <c r="E492">
        <v>4233</v>
      </c>
      <c r="F492">
        <v>0.01</v>
      </c>
    </row>
    <row r="493" spans="1:6" hidden="1" x14ac:dyDescent="0.25">
      <c r="A493" t="s">
        <v>462</v>
      </c>
      <c r="B493" t="s">
        <v>7</v>
      </c>
      <c r="C493" t="s">
        <v>504</v>
      </c>
      <c r="D493">
        <v>300</v>
      </c>
      <c r="E493">
        <v>1317</v>
      </c>
      <c r="F493">
        <v>0.01</v>
      </c>
    </row>
    <row r="494" spans="1:6" hidden="1" x14ac:dyDescent="0.25">
      <c r="A494" t="s">
        <v>462</v>
      </c>
      <c r="B494" t="s">
        <v>7</v>
      </c>
      <c r="C494" t="s">
        <v>505</v>
      </c>
      <c r="D494">
        <v>500</v>
      </c>
      <c r="E494">
        <v>2255</v>
      </c>
      <c r="F494">
        <v>0.01</v>
      </c>
    </row>
    <row r="495" spans="1:6" hidden="1" x14ac:dyDescent="0.25">
      <c r="A495" t="s">
        <v>462</v>
      </c>
      <c r="B495" t="s">
        <v>7</v>
      </c>
      <c r="C495" t="s">
        <v>506</v>
      </c>
      <c r="D495">
        <v>700</v>
      </c>
      <c r="E495">
        <v>3035</v>
      </c>
      <c r="F495">
        <v>0.01</v>
      </c>
    </row>
    <row r="496" spans="1:6" hidden="1" x14ac:dyDescent="0.25">
      <c r="A496" t="s">
        <v>462</v>
      </c>
      <c r="B496" t="s">
        <v>7</v>
      </c>
      <c r="C496" t="s">
        <v>507</v>
      </c>
      <c r="D496">
        <v>800</v>
      </c>
      <c r="E496">
        <v>3476</v>
      </c>
      <c r="F496">
        <v>0.01</v>
      </c>
    </row>
    <row r="497" spans="1:6" hidden="1" x14ac:dyDescent="0.25">
      <c r="A497" t="s">
        <v>462</v>
      </c>
      <c r="B497" t="s">
        <v>7</v>
      </c>
      <c r="C497" t="s">
        <v>508</v>
      </c>
      <c r="D497">
        <v>1000</v>
      </c>
      <c r="E497">
        <v>4314</v>
      </c>
      <c r="F497">
        <v>0.01</v>
      </c>
    </row>
    <row r="498" spans="1:6" hidden="1" x14ac:dyDescent="0.25">
      <c r="A498" t="s">
        <v>462</v>
      </c>
      <c r="B498" t="s">
        <v>7</v>
      </c>
      <c r="C498" t="s">
        <v>509</v>
      </c>
      <c r="D498">
        <v>300</v>
      </c>
      <c r="E498">
        <v>1280</v>
      </c>
      <c r="F498">
        <v>0.01</v>
      </c>
    </row>
    <row r="499" spans="1:6" hidden="1" x14ac:dyDescent="0.25">
      <c r="A499" t="s">
        <v>462</v>
      </c>
      <c r="B499" t="s">
        <v>7</v>
      </c>
      <c r="C499" t="s">
        <v>510</v>
      </c>
      <c r="D499">
        <v>500</v>
      </c>
      <c r="E499">
        <v>2103</v>
      </c>
      <c r="F499">
        <v>0.01</v>
      </c>
    </row>
    <row r="500" spans="1:6" hidden="1" x14ac:dyDescent="0.25">
      <c r="A500" t="s">
        <v>462</v>
      </c>
      <c r="B500" t="s">
        <v>7</v>
      </c>
      <c r="C500" t="s">
        <v>511</v>
      </c>
      <c r="D500">
        <v>700</v>
      </c>
      <c r="E500">
        <v>3099</v>
      </c>
      <c r="F500">
        <v>0.01</v>
      </c>
    </row>
    <row r="501" spans="1:6" hidden="1" x14ac:dyDescent="0.25">
      <c r="A501" t="s">
        <v>462</v>
      </c>
      <c r="B501" t="s">
        <v>7</v>
      </c>
      <c r="C501" t="s">
        <v>512</v>
      </c>
      <c r="D501">
        <v>800</v>
      </c>
      <c r="E501">
        <v>3493</v>
      </c>
      <c r="F501">
        <v>0.01</v>
      </c>
    </row>
    <row r="502" spans="1:6" hidden="1" x14ac:dyDescent="0.25">
      <c r="A502" t="s">
        <v>462</v>
      </c>
      <c r="B502" t="s">
        <v>58</v>
      </c>
      <c r="C502" t="s">
        <v>513</v>
      </c>
      <c r="D502">
        <v>1000</v>
      </c>
      <c r="E502">
        <v>4372</v>
      </c>
      <c r="F502">
        <v>0.01</v>
      </c>
    </row>
    <row r="503" spans="1:6" hidden="1" x14ac:dyDescent="0.25">
      <c r="A503" t="s">
        <v>462</v>
      </c>
      <c r="B503" t="s">
        <v>58</v>
      </c>
      <c r="C503" t="s">
        <v>514</v>
      </c>
      <c r="D503">
        <v>300</v>
      </c>
      <c r="E503">
        <v>1305</v>
      </c>
      <c r="F503">
        <v>0</v>
      </c>
    </row>
    <row r="504" spans="1:6" hidden="1" x14ac:dyDescent="0.25">
      <c r="A504" t="s">
        <v>462</v>
      </c>
      <c r="B504" t="s">
        <v>58</v>
      </c>
      <c r="C504" t="s">
        <v>515</v>
      </c>
      <c r="D504">
        <v>500</v>
      </c>
      <c r="E504">
        <v>2131</v>
      </c>
      <c r="F504">
        <v>0.01</v>
      </c>
    </row>
    <row r="505" spans="1:6" hidden="1" x14ac:dyDescent="0.25">
      <c r="A505" t="s">
        <v>462</v>
      </c>
      <c r="B505" t="s">
        <v>58</v>
      </c>
      <c r="C505" t="s">
        <v>516</v>
      </c>
      <c r="D505">
        <v>700</v>
      </c>
      <c r="E505">
        <v>3218</v>
      </c>
      <c r="F505">
        <v>0.01</v>
      </c>
    </row>
    <row r="506" spans="1:6" hidden="1" x14ac:dyDescent="0.25">
      <c r="A506" t="s">
        <v>462</v>
      </c>
      <c r="B506" t="s">
        <v>58</v>
      </c>
      <c r="C506" t="s">
        <v>517</v>
      </c>
      <c r="D506">
        <v>800</v>
      </c>
      <c r="E506">
        <v>3425</v>
      </c>
      <c r="F506">
        <v>0.01</v>
      </c>
    </row>
    <row r="507" spans="1:6" hidden="1" x14ac:dyDescent="0.25">
      <c r="A507" t="s">
        <v>462</v>
      </c>
      <c r="B507" t="s">
        <v>58</v>
      </c>
      <c r="C507" t="s">
        <v>518</v>
      </c>
      <c r="D507">
        <v>1000</v>
      </c>
      <c r="E507">
        <v>4471</v>
      </c>
      <c r="F507">
        <v>0.01</v>
      </c>
    </row>
    <row r="508" spans="1:6" hidden="1" x14ac:dyDescent="0.25">
      <c r="A508" t="s">
        <v>462</v>
      </c>
      <c r="B508" t="s">
        <v>58</v>
      </c>
      <c r="C508" t="s">
        <v>519</v>
      </c>
      <c r="D508">
        <v>300</v>
      </c>
      <c r="E508">
        <v>1273</v>
      </c>
      <c r="F508">
        <v>0.02</v>
      </c>
    </row>
    <row r="509" spans="1:6" hidden="1" x14ac:dyDescent="0.25">
      <c r="A509" t="s">
        <v>462</v>
      </c>
      <c r="B509" t="s">
        <v>58</v>
      </c>
      <c r="C509" t="s">
        <v>520</v>
      </c>
      <c r="D509">
        <v>500</v>
      </c>
      <c r="E509">
        <v>2201</v>
      </c>
      <c r="F509">
        <v>0</v>
      </c>
    </row>
    <row r="510" spans="1:6" hidden="1" x14ac:dyDescent="0.25">
      <c r="A510" t="s">
        <v>462</v>
      </c>
      <c r="B510" t="s">
        <v>58</v>
      </c>
      <c r="C510" t="s">
        <v>521</v>
      </c>
      <c r="D510">
        <v>700</v>
      </c>
      <c r="E510">
        <v>3114</v>
      </c>
      <c r="F510">
        <v>0</v>
      </c>
    </row>
    <row r="511" spans="1:6" hidden="1" x14ac:dyDescent="0.25">
      <c r="A511" t="s">
        <v>462</v>
      </c>
      <c r="B511" t="s">
        <v>58</v>
      </c>
      <c r="C511" t="s">
        <v>522</v>
      </c>
      <c r="D511">
        <v>800</v>
      </c>
      <c r="E511">
        <v>3517</v>
      </c>
      <c r="F511">
        <v>0.01</v>
      </c>
    </row>
    <row r="512" spans="1:6" hidden="1" x14ac:dyDescent="0.25">
      <c r="A512" t="s">
        <v>462</v>
      </c>
      <c r="B512" t="s">
        <v>58</v>
      </c>
      <c r="C512" t="s">
        <v>523</v>
      </c>
      <c r="D512">
        <v>1000</v>
      </c>
      <c r="E512">
        <v>4468</v>
      </c>
      <c r="F512">
        <v>0.01</v>
      </c>
    </row>
    <row r="513" spans="1:6" hidden="1" x14ac:dyDescent="0.25">
      <c r="A513" t="s">
        <v>462</v>
      </c>
      <c r="B513" t="s">
        <v>58</v>
      </c>
      <c r="C513" t="s">
        <v>524</v>
      </c>
      <c r="D513">
        <v>300</v>
      </c>
      <c r="E513">
        <v>1347</v>
      </c>
      <c r="F513">
        <v>0.01</v>
      </c>
    </row>
    <row r="514" spans="1:6" hidden="1" x14ac:dyDescent="0.25">
      <c r="A514" t="s">
        <v>462</v>
      </c>
      <c r="B514" t="s">
        <v>58</v>
      </c>
      <c r="C514" t="s">
        <v>525</v>
      </c>
      <c r="D514">
        <v>500</v>
      </c>
      <c r="E514">
        <v>2304</v>
      </c>
      <c r="F514">
        <v>0</v>
      </c>
    </row>
    <row r="515" spans="1:6" hidden="1" x14ac:dyDescent="0.25">
      <c r="A515" t="s">
        <v>462</v>
      </c>
      <c r="B515" t="s">
        <v>58</v>
      </c>
      <c r="C515" t="s">
        <v>526</v>
      </c>
      <c r="D515">
        <v>700</v>
      </c>
      <c r="E515">
        <v>3109</v>
      </c>
      <c r="F515">
        <v>0.01</v>
      </c>
    </row>
    <row r="516" spans="1:6" hidden="1" x14ac:dyDescent="0.25">
      <c r="A516" t="s">
        <v>462</v>
      </c>
      <c r="B516" t="s">
        <v>58</v>
      </c>
      <c r="C516" t="s">
        <v>527</v>
      </c>
      <c r="D516">
        <v>800</v>
      </c>
      <c r="E516">
        <v>3522</v>
      </c>
      <c r="F516">
        <v>0.01</v>
      </c>
    </row>
    <row r="517" spans="1:6" hidden="1" x14ac:dyDescent="0.25">
      <c r="A517" t="s">
        <v>462</v>
      </c>
      <c r="B517" t="s">
        <v>58</v>
      </c>
      <c r="C517" t="s">
        <v>528</v>
      </c>
      <c r="D517">
        <v>1000</v>
      </c>
      <c r="E517">
        <v>4625</v>
      </c>
      <c r="F517">
        <v>0.02</v>
      </c>
    </row>
    <row r="518" spans="1:6" hidden="1" x14ac:dyDescent="0.25">
      <c r="A518" t="s">
        <v>462</v>
      </c>
      <c r="B518" t="s">
        <v>58</v>
      </c>
      <c r="C518" t="s">
        <v>529</v>
      </c>
      <c r="D518">
        <v>300</v>
      </c>
      <c r="E518">
        <v>1297</v>
      </c>
      <c r="F518">
        <v>0</v>
      </c>
    </row>
    <row r="519" spans="1:6" hidden="1" x14ac:dyDescent="0.25">
      <c r="A519" t="s">
        <v>462</v>
      </c>
      <c r="B519" t="s">
        <v>58</v>
      </c>
      <c r="C519" t="s">
        <v>530</v>
      </c>
      <c r="D519">
        <v>500</v>
      </c>
      <c r="E519">
        <v>2130</v>
      </c>
      <c r="F519">
        <v>0.01</v>
      </c>
    </row>
    <row r="520" spans="1:6" hidden="1" x14ac:dyDescent="0.25">
      <c r="A520" t="s">
        <v>462</v>
      </c>
      <c r="B520" t="s">
        <v>58</v>
      </c>
      <c r="C520" t="s">
        <v>531</v>
      </c>
      <c r="D520">
        <v>700</v>
      </c>
      <c r="E520">
        <v>3075</v>
      </c>
      <c r="F520">
        <v>0.01</v>
      </c>
    </row>
    <row r="521" spans="1:6" hidden="1" x14ac:dyDescent="0.25">
      <c r="A521" t="s">
        <v>462</v>
      </c>
      <c r="B521" t="s">
        <v>58</v>
      </c>
      <c r="C521" t="s">
        <v>532</v>
      </c>
      <c r="D521">
        <v>800</v>
      </c>
      <c r="E521">
        <v>3498</v>
      </c>
      <c r="F521">
        <v>0.01</v>
      </c>
    </row>
    <row r="522" spans="1:6" hidden="1" x14ac:dyDescent="0.25">
      <c r="A522" t="s">
        <v>462</v>
      </c>
      <c r="B522" t="s">
        <v>58</v>
      </c>
      <c r="C522" t="s">
        <v>533</v>
      </c>
      <c r="D522">
        <v>1000</v>
      </c>
      <c r="E522">
        <v>4237</v>
      </c>
      <c r="F522">
        <v>0.03</v>
      </c>
    </row>
    <row r="523" spans="1:6" hidden="1" x14ac:dyDescent="0.25">
      <c r="A523" t="s">
        <v>462</v>
      </c>
      <c r="B523" t="s">
        <v>58</v>
      </c>
      <c r="C523" t="s">
        <v>534</v>
      </c>
      <c r="D523">
        <v>300</v>
      </c>
      <c r="E523">
        <v>1278</v>
      </c>
      <c r="F523">
        <v>0</v>
      </c>
    </row>
    <row r="524" spans="1:6" hidden="1" x14ac:dyDescent="0.25">
      <c r="A524" t="s">
        <v>462</v>
      </c>
      <c r="B524" t="s">
        <v>58</v>
      </c>
      <c r="C524" t="s">
        <v>535</v>
      </c>
      <c r="D524">
        <v>500</v>
      </c>
      <c r="E524">
        <v>2142</v>
      </c>
      <c r="F524">
        <v>0.01</v>
      </c>
    </row>
    <row r="525" spans="1:6" hidden="1" x14ac:dyDescent="0.25">
      <c r="A525" t="s">
        <v>462</v>
      </c>
      <c r="B525" t="s">
        <v>58</v>
      </c>
      <c r="C525" t="s">
        <v>536</v>
      </c>
      <c r="D525">
        <v>700</v>
      </c>
      <c r="E525">
        <v>3143</v>
      </c>
      <c r="F525">
        <v>0</v>
      </c>
    </row>
    <row r="526" spans="1:6" hidden="1" x14ac:dyDescent="0.25">
      <c r="A526" t="s">
        <v>462</v>
      </c>
      <c r="B526" t="s">
        <v>58</v>
      </c>
      <c r="C526" t="s">
        <v>537</v>
      </c>
      <c r="D526">
        <v>800</v>
      </c>
      <c r="E526">
        <v>3541</v>
      </c>
      <c r="F526">
        <v>0.01</v>
      </c>
    </row>
    <row r="527" spans="1:6" hidden="1" x14ac:dyDescent="0.25">
      <c r="A527" t="s">
        <v>462</v>
      </c>
      <c r="B527" t="s">
        <v>58</v>
      </c>
      <c r="C527" t="s">
        <v>538</v>
      </c>
      <c r="D527">
        <v>1000</v>
      </c>
      <c r="E527">
        <v>4408</v>
      </c>
      <c r="F527">
        <v>0.01</v>
      </c>
    </row>
    <row r="528" spans="1:6" hidden="1" x14ac:dyDescent="0.25">
      <c r="A528" t="s">
        <v>462</v>
      </c>
      <c r="B528" t="s">
        <v>58</v>
      </c>
      <c r="C528" t="s">
        <v>539</v>
      </c>
      <c r="D528">
        <v>300</v>
      </c>
      <c r="E528">
        <v>1264</v>
      </c>
      <c r="F528">
        <v>0</v>
      </c>
    </row>
    <row r="529" spans="1:6" hidden="1" x14ac:dyDescent="0.25">
      <c r="A529" t="s">
        <v>462</v>
      </c>
      <c r="B529" t="s">
        <v>58</v>
      </c>
      <c r="C529" t="s">
        <v>540</v>
      </c>
      <c r="D529">
        <v>500</v>
      </c>
      <c r="E529">
        <v>2230</v>
      </c>
      <c r="F529">
        <v>0.01</v>
      </c>
    </row>
    <row r="530" spans="1:6" hidden="1" x14ac:dyDescent="0.25">
      <c r="A530" t="s">
        <v>462</v>
      </c>
      <c r="B530" t="s">
        <v>58</v>
      </c>
      <c r="C530" t="s">
        <v>541</v>
      </c>
      <c r="D530">
        <v>700</v>
      </c>
      <c r="E530">
        <v>3076</v>
      </c>
      <c r="F530">
        <v>0.01</v>
      </c>
    </row>
    <row r="531" spans="1:6" hidden="1" x14ac:dyDescent="0.25">
      <c r="A531" t="s">
        <v>462</v>
      </c>
      <c r="B531" t="s">
        <v>58</v>
      </c>
      <c r="C531" t="s">
        <v>542</v>
      </c>
      <c r="D531">
        <v>800</v>
      </c>
      <c r="E531">
        <v>3575</v>
      </c>
      <c r="F531">
        <v>0.01</v>
      </c>
    </row>
    <row r="532" spans="1:6" hidden="1" x14ac:dyDescent="0.25">
      <c r="A532" t="s">
        <v>462</v>
      </c>
      <c r="B532" t="s">
        <v>58</v>
      </c>
      <c r="C532" t="s">
        <v>543</v>
      </c>
      <c r="D532">
        <v>1000</v>
      </c>
      <c r="E532">
        <v>4389</v>
      </c>
      <c r="F532">
        <v>0.01</v>
      </c>
    </row>
    <row r="533" spans="1:6" hidden="1" x14ac:dyDescent="0.25">
      <c r="A533" t="s">
        <v>462</v>
      </c>
      <c r="B533" t="s">
        <v>58</v>
      </c>
      <c r="C533" t="s">
        <v>544</v>
      </c>
      <c r="D533">
        <v>300</v>
      </c>
      <c r="E533">
        <v>1389</v>
      </c>
      <c r="F533">
        <v>0.01</v>
      </c>
    </row>
    <row r="534" spans="1:6" hidden="1" x14ac:dyDescent="0.25">
      <c r="A534" t="s">
        <v>462</v>
      </c>
      <c r="B534" t="s">
        <v>58</v>
      </c>
      <c r="C534" t="s">
        <v>545</v>
      </c>
      <c r="D534">
        <v>500</v>
      </c>
      <c r="E534">
        <v>2241</v>
      </c>
      <c r="F534">
        <v>0.01</v>
      </c>
    </row>
    <row r="535" spans="1:6" hidden="1" x14ac:dyDescent="0.25">
      <c r="A535" t="s">
        <v>462</v>
      </c>
      <c r="B535" t="s">
        <v>58</v>
      </c>
      <c r="C535" t="s">
        <v>546</v>
      </c>
      <c r="D535">
        <v>700</v>
      </c>
      <c r="E535">
        <v>3081</v>
      </c>
      <c r="F535">
        <v>0.01</v>
      </c>
    </row>
    <row r="536" spans="1:6" hidden="1" x14ac:dyDescent="0.25">
      <c r="A536" t="s">
        <v>462</v>
      </c>
      <c r="B536" t="s">
        <v>58</v>
      </c>
      <c r="C536" t="s">
        <v>547</v>
      </c>
      <c r="D536">
        <v>800</v>
      </c>
      <c r="E536">
        <v>3485</v>
      </c>
      <c r="F536">
        <v>0.01</v>
      </c>
    </row>
    <row r="537" spans="1:6" hidden="1" x14ac:dyDescent="0.25">
      <c r="A537" t="s">
        <v>462</v>
      </c>
      <c r="B537" t="s">
        <v>58</v>
      </c>
      <c r="C537" t="s">
        <v>548</v>
      </c>
      <c r="D537">
        <v>1000</v>
      </c>
      <c r="E537">
        <v>4428</v>
      </c>
      <c r="F537">
        <v>0.01</v>
      </c>
    </row>
    <row r="538" spans="1:6" hidden="1" x14ac:dyDescent="0.25">
      <c r="A538" t="s">
        <v>462</v>
      </c>
      <c r="B538" t="s">
        <v>58</v>
      </c>
      <c r="C538" t="s">
        <v>549</v>
      </c>
      <c r="D538">
        <v>300</v>
      </c>
      <c r="E538">
        <v>1351</v>
      </c>
      <c r="F538">
        <v>0.01</v>
      </c>
    </row>
    <row r="539" spans="1:6" hidden="1" x14ac:dyDescent="0.25">
      <c r="A539" t="s">
        <v>462</v>
      </c>
      <c r="B539" t="s">
        <v>58</v>
      </c>
      <c r="C539" t="s">
        <v>550</v>
      </c>
      <c r="D539">
        <v>500</v>
      </c>
      <c r="E539">
        <v>2090</v>
      </c>
      <c r="F539">
        <v>0.01</v>
      </c>
    </row>
    <row r="540" spans="1:6" hidden="1" x14ac:dyDescent="0.25">
      <c r="A540" t="s">
        <v>462</v>
      </c>
      <c r="B540" t="s">
        <v>58</v>
      </c>
      <c r="C540" t="s">
        <v>551</v>
      </c>
      <c r="D540">
        <v>700</v>
      </c>
      <c r="E540">
        <v>3153</v>
      </c>
      <c r="F540">
        <v>0.01</v>
      </c>
    </row>
    <row r="541" spans="1:6" hidden="1" x14ac:dyDescent="0.25">
      <c r="A541" t="s">
        <v>462</v>
      </c>
      <c r="B541" t="s">
        <v>58</v>
      </c>
      <c r="C541" t="s">
        <v>552</v>
      </c>
      <c r="D541">
        <v>800</v>
      </c>
      <c r="E541">
        <v>3534</v>
      </c>
      <c r="F541">
        <v>0.01</v>
      </c>
    </row>
    <row r="542" spans="1:6" hidden="1" x14ac:dyDescent="0.25">
      <c r="A542" t="s">
        <v>462</v>
      </c>
      <c r="B542" t="s">
        <v>58</v>
      </c>
      <c r="C542" t="s">
        <v>553</v>
      </c>
      <c r="D542">
        <v>1000</v>
      </c>
      <c r="E542">
        <v>4429</v>
      </c>
      <c r="F542">
        <v>0.01</v>
      </c>
    </row>
    <row r="543" spans="1:6" hidden="1" x14ac:dyDescent="0.25">
      <c r="A543" t="s">
        <v>462</v>
      </c>
      <c r="B543" t="s">
        <v>58</v>
      </c>
      <c r="C543" t="s">
        <v>554</v>
      </c>
      <c r="D543">
        <v>300</v>
      </c>
      <c r="E543">
        <v>1300</v>
      </c>
      <c r="F543">
        <v>0</v>
      </c>
    </row>
    <row r="544" spans="1:6" hidden="1" x14ac:dyDescent="0.25">
      <c r="A544" t="s">
        <v>462</v>
      </c>
      <c r="B544" t="s">
        <v>58</v>
      </c>
      <c r="C544" t="s">
        <v>555</v>
      </c>
      <c r="D544">
        <v>500</v>
      </c>
      <c r="E544">
        <v>2139</v>
      </c>
      <c r="F544">
        <v>0.01</v>
      </c>
    </row>
    <row r="545" spans="1:6" hidden="1" x14ac:dyDescent="0.25">
      <c r="A545" t="s">
        <v>462</v>
      </c>
      <c r="B545" t="s">
        <v>58</v>
      </c>
      <c r="C545" t="s">
        <v>556</v>
      </c>
      <c r="D545">
        <v>700</v>
      </c>
      <c r="E545">
        <v>3059</v>
      </c>
      <c r="F545">
        <v>0.01</v>
      </c>
    </row>
    <row r="546" spans="1:6" hidden="1" x14ac:dyDescent="0.25">
      <c r="A546" t="s">
        <v>462</v>
      </c>
      <c r="B546" t="s">
        <v>58</v>
      </c>
      <c r="C546" t="s">
        <v>557</v>
      </c>
      <c r="D546">
        <v>800</v>
      </c>
      <c r="E546">
        <v>3701</v>
      </c>
      <c r="F546">
        <v>0.01</v>
      </c>
    </row>
    <row r="547" spans="1:6" hidden="1" x14ac:dyDescent="0.25">
      <c r="A547" t="s">
        <v>462</v>
      </c>
      <c r="B547" t="s">
        <v>58</v>
      </c>
      <c r="C547" t="s">
        <v>558</v>
      </c>
      <c r="D547">
        <v>1000</v>
      </c>
      <c r="E547">
        <v>4601</v>
      </c>
      <c r="F547">
        <v>0.01</v>
      </c>
    </row>
    <row r="548" spans="1:6" hidden="1" x14ac:dyDescent="0.25">
      <c r="A548" t="s">
        <v>462</v>
      </c>
      <c r="B548" t="s">
        <v>58</v>
      </c>
      <c r="C548" t="s">
        <v>559</v>
      </c>
      <c r="D548">
        <v>300</v>
      </c>
      <c r="E548">
        <v>1270</v>
      </c>
      <c r="F548">
        <v>0.01</v>
      </c>
    </row>
    <row r="549" spans="1:6" hidden="1" x14ac:dyDescent="0.25">
      <c r="A549" t="s">
        <v>462</v>
      </c>
      <c r="B549" t="s">
        <v>58</v>
      </c>
      <c r="C549" t="s">
        <v>560</v>
      </c>
      <c r="D549">
        <v>500</v>
      </c>
      <c r="E549">
        <v>2065</v>
      </c>
      <c r="F549">
        <v>0.01</v>
      </c>
    </row>
    <row r="550" spans="1:6" hidden="1" x14ac:dyDescent="0.25">
      <c r="A550" t="s">
        <v>462</v>
      </c>
      <c r="B550" t="s">
        <v>58</v>
      </c>
      <c r="C550" t="s">
        <v>561</v>
      </c>
      <c r="D550">
        <v>700</v>
      </c>
      <c r="E550">
        <v>3140</v>
      </c>
      <c r="F550">
        <v>0.01</v>
      </c>
    </row>
    <row r="551" spans="1:6" hidden="1" x14ac:dyDescent="0.25">
      <c r="A551" t="s">
        <v>462</v>
      </c>
      <c r="B551" t="s">
        <v>58</v>
      </c>
      <c r="C551" t="s">
        <v>562</v>
      </c>
      <c r="D551">
        <v>800</v>
      </c>
      <c r="E551">
        <v>3494</v>
      </c>
      <c r="F551">
        <v>0.01</v>
      </c>
    </row>
    <row r="552" spans="1:6" hidden="1" x14ac:dyDescent="0.25">
      <c r="A552" t="s">
        <v>462</v>
      </c>
      <c r="B552" t="s">
        <v>109</v>
      </c>
      <c r="C552" t="s">
        <v>563</v>
      </c>
      <c r="D552">
        <v>1000</v>
      </c>
      <c r="E552">
        <v>5386</v>
      </c>
      <c r="F552">
        <v>0.01</v>
      </c>
    </row>
    <row r="553" spans="1:6" hidden="1" x14ac:dyDescent="0.25">
      <c r="A553" t="s">
        <v>462</v>
      </c>
      <c r="B553" t="s">
        <v>109</v>
      </c>
      <c r="C553" t="s">
        <v>564</v>
      </c>
      <c r="D553">
        <v>300</v>
      </c>
      <c r="E553">
        <v>1559</v>
      </c>
      <c r="F553">
        <v>0</v>
      </c>
    </row>
    <row r="554" spans="1:6" hidden="1" x14ac:dyDescent="0.25">
      <c r="A554" t="s">
        <v>462</v>
      </c>
      <c r="B554" t="s">
        <v>109</v>
      </c>
      <c r="C554" t="s">
        <v>565</v>
      </c>
      <c r="D554">
        <v>500</v>
      </c>
      <c r="E554">
        <v>2875</v>
      </c>
      <c r="F554">
        <v>0.01</v>
      </c>
    </row>
    <row r="555" spans="1:6" hidden="1" x14ac:dyDescent="0.25">
      <c r="A555" t="s">
        <v>462</v>
      </c>
      <c r="B555" t="s">
        <v>109</v>
      </c>
      <c r="C555" t="s">
        <v>566</v>
      </c>
      <c r="D555">
        <v>700</v>
      </c>
      <c r="E555">
        <v>3594</v>
      </c>
      <c r="F555">
        <v>0.01</v>
      </c>
    </row>
    <row r="556" spans="1:6" hidden="1" x14ac:dyDescent="0.25">
      <c r="A556" t="s">
        <v>462</v>
      </c>
      <c r="B556" t="s">
        <v>109</v>
      </c>
      <c r="C556" t="s">
        <v>567</v>
      </c>
      <c r="D556">
        <v>800</v>
      </c>
      <c r="E556">
        <v>4275</v>
      </c>
      <c r="F556">
        <v>0.01</v>
      </c>
    </row>
    <row r="557" spans="1:6" hidden="1" x14ac:dyDescent="0.25">
      <c r="A557" t="s">
        <v>462</v>
      </c>
      <c r="B557" t="s">
        <v>109</v>
      </c>
      <c r="C557" t="s">
        <v>568</v>
      </c>
      <c r="D557">
        <v>1000</v>
      </c>
      <c r="E557">
        <v>5065</v>
      </c>
      <c r="F557">
        <v>0.01</v>
      </c>
    </row>
    <row r="558" spans="1:6" hidden="1" x14ac:dyDescent="0.25">
      <c r="A558" t="s">
        <v>462</v>
      </c>
      <c r="B558" t="s">
        <v>109</v>
      </c>
      <c r="C558" t="s">
        <v>569</v>
      </c>
      <c r="D558">
        <v>300</v>
      </c>
      <c r="E558">
        <v>1615</v>
      </c>
      <c r="F558">
        <v>0</v>
      </c>
    </row>
    <row r="559" spans="1:6" hidden="1" x14ac:dyDescent="0.25">
      <c r="A559" t="s">
        <v>462</v>
      </c>
      <c r="B559" t="s">
        <v>109</v>
      </c>
      <c r="C559" t="s">
        <v>570</v>
      </c>
      <c r="D559">
        <v>500</v>
      </c>
      <c r="E559">
        <v>2642</v>
      </c>
      <c r="F559">
        <v>0.01</v>
      </c>
    </row>
    <row r="560" spans="1:6" hidden="1" x14ac:dyDescent="0.25">
      <c r="A560" t="s">
        <v>462</v>
      </c>
      <c r="B560" t="s">
        <v>109</v>
      </c>
      <c r="C560" t="s">
        <v>571</v>
      </c>
      <c r="D560">
        <v>700</v>
      </c>
      <c r="E560">
        <v>3532</v>
      </c>
      <c r="F560">
        <v>0.01</v>
      </c>
    </row>
    <row r="561" spans="1:6" hidden="1" x14ac:dyDescent="0.25">
      <c r="A561" t="s">
        <v>462</v>
      </c>
      <c r="B561" t="s">
        <v>109</v>
      </c>
      <c r="C561" t="s">
        <v>572</v>
      </c>
      <c r="D561">
        <v>800</v>
      </c>
      <c r="E561">
        <v>3997</v>
      </c>
      <c r="F561">
        <v>0.01</v>
      </c>
    </row>
    <row r="562" spans="1:6" hidden="1" x14ac:dyDescent="0.25">
      <c r="A562" t="s">
        <v>462</v>
      </c>
      <c r="B562" t="s">
        <v>109</v>
      </c>
      <c r="C562" t="s">
        <v>573</v>
      </c>
      <c r="D562">
        <v>1000</v>
      </c>
      <c r="E562">
        <v>4874</v>
      </c>
      <c r="F562">
        <v>0.01</v>
      </c>
    </row>
    <row r="563" spans="1:6" hidden="1" x14ac:dyDescent="0.25">
      <c r="A563" t="s">
        <v>462</v>
      </c>
      <c r="B563" t="s">
        <v>109</v>
      </c>
      <c r="C563" t="s">
        <v>574</v>
      </c>
      <c r="D563">
        <v>300</v>
      </c>
      <c r="E563">
        <v>1609</v>
      </c>
      <c r="F563">
        <v>0</v>
      </c>
    </row>
    <row r="564" spans="1:6" hidden="1" x14ac:dyDescent="0.25">
      <c r="A564" t="s">
        <v>462</v>
      </c>
      <c r="B564" t="s">
        <v>109</v>
      </c>
      <c r="C564" t="s">
        <v>575</v>
      </c>
      <c r="D564">
        <v>500</v>
      </c>
      <c r="E564">
        <v>2717</v>
      </c>
      <c r="F564">
        <v>0.01</v>
      </c>
    </row>
    <row r="565" spans="1:6" hidden="1" x14ac:dyDescent="0.25">
      <c r="A565" t="s">
        <v>462</v>
      </c>
      <c r="B565" t="s">
        <v>109</v>
      </c>
      <c r="C565" t="s">
        <v>576</v>
      </c>
      <c r="D565">
        <v>700</v>
      </c>
      <c r="E565">
        <v>3585</v>
      </c>
      <c r="F565">
        <v>0.01</v>
      </c>
    </row>
    <row r="566" spans="1:6" hidden="1" x14ac:dyDescent="0.25">
      <c r="A566" t="s">
        <v>462</v>
      </c>
      <c r="B566" t="s">
        <v>109</v>
      </c>
      <c r="C566" t="s">
        <v>577</v>
      </c>
      <c r="D566">
        <v>800</v>
      </c>
      <c r="E566">
        <v>4152</v>
      </c>
      <c r="F566">
        <v>0.01</v>
      </c>
    </row>
    <row r="567" spans="1:6" hidden="1" x14ac:dyDescent="0.25">
      <c r="A567" t="s">
        <v>462</v>
      </c>
      <c r="B567" t="s">
        <v>109</v>
      </c>
      <c r="C567" t="s">
        <v>578</v>
      </c>
      <c r="D567">
        <v>1000</v>
      </c>
      <c r="E567">
        <v>5360</v>
      </c>
      <c r="F567">
        <v>0.01</v>
      </c>
    </row>
    <row r="568" spans="1:6" hidden="1" x14ac:dyDescent="0.25">
      <c r="A568" t="s">
        <v>462</v>
      </c>
      <c r="B568" t="s">
        <v>109</v>
      </c>
      <c r="C568" t="s">
        <v>579</v>
      </c>
      <c r="D568">
        <v>300</v>
      </c>
      <c r="E568">
        <v>1540</v>
      </c>
      <c r="F568">
        <v>0</v>
      </c>
    </row>
    <row r="569" spans="1:6" hidden="1" x14ac:dyDescent="0.25">
      <c r="A569" t="s">
        <v>462</v>
      </c>
      <c r="B569" t="s">
        <v>109</v>
      </c>
      <c r="C569" t="s">
        <v>580</v>
      </c>
      <c r="D569">
        <v>500</v>
      </c>
      <c r="E569">
        <v>2651</v>
      </c>
      <c r="F569">
        <v>0.01</v>
      </c>
    </row>
    <row r="570" spans="1:6" hidden="1" x14ac:dyDescent="0.25">
      <c r="A570" t="s">
        <v>462</v>
      </c>
      <c r="B570" t="s">
        <v>109</v>
      </c>
      <c r="C570" t="s">
        <v>581</v>
      </c>
      <c r="D570">
        <v>700</v>
      </c>
      <c r="E570">
        <v>3686</v>
      </c>
      <c r="F570">
        <v>0.01</v>
      </c>
    </row>
    <row r="571" spans="1:6" hidden="1" x14ac:dyDescent="0.25">
      <c r="A571" t="s">
        <v>462</v>
      </c>
      <c r="B571" t="s">
        <v>109</v>
      </c>
      <c r="C571" t="s">
        <v>582</v>
      </c>
      <c r="D571">
        <v>800</v>
      </c>
      <c r="E571">
        <v>4089</v>
      </c>
      <c r="F571">
        <v>0.01</v>
      </c>
    </row>
    <row r="572" spans="1:6" hidden="1" x14ac:dyDescent="0.25">
      <c r="A572" t="s">
        <v>462</v>
      </c>
      <c r="B572" t="s">
        <v>109</v>
      </c>
      <c r="C572" t="s">
        <v>583</v>
      </c>
      <c r="D572">
        <v>1000</v>
      </c>
      <c r="E572">
        <v>5135</v>
      </c>
      <c r="F572">
        <v>0.01</v>
      </c>
    </row>
    <row r="573" spans="1:6" hidden="1" x14ac:dyDescent="0.25">
      <c r="A573" t="s">
        <v>462</v>
      </c>
      <c r="B573" t="s">
        <v>109</v>
      </c>
      <c r="C573" t="s">
        <v>584</v>
      </c>
      <c r="D573">
        <v>300</v>
      </c>
      <c r="E573">
        <v>1802</v>
      </c>
      <c r="F573">
        <v>0</v>
      </c>
    </row>
    <row r="574" spans="1:6" hidden="1" x14ac:dyDescent="0.25">
      <c r="A574" t="s">
        <v>462</v>
      </c>
      <c r="B574" t="s">
        <v>109</v>
      </c>
      <c r="C574" t="s">
        <v>585</v>
      </c>
      <c r="D574">
        <v>500</v>
      </c>
      <c r="E574">
        <v>2484</v>
      </c>
      <c r="F574">
        <v>0.01</v>
      </c>
    </row>
    <row r="575" spans="1:6" hidden="1" x14ac:dyDescent="0.25">
      <c r="A575" t="s">
        <v>462</v>
      </c>
      <c r="B575" t="s">
        <v>109</v>
      </c>
      <c r="C575" t="s">
        <v>586</v>
      </c>
      <c r="D575">
        <v>700</v>
      </c>
      <c r="E575">
        <v>3407</v>
      </c>
      <c r="F575">
        <v>0.01</v>
      </c>
    </row>
    <row r="576" spans="1:6" hidden="1" x14ac:dyDescent="0.25">
      <c r="A576" t="s">
        <v>462</v>
      </c>
      <c r="B576" t="s">
        <v>109</v>
      </c>
      <c r="C576" t="s">
        <v>587</v>
      </c>
      <c r="D576">
        <v>800</v>
      </c>
      <c r="E576">
        <v>4038</v>
      </c>
      <c r="F576">
        <v>0.01</v>
      </c>
    </row>
    <row r="577" spans="1:6" hidden="1" x14ac:dyDescent="0.25">
      <c r="A577" t="s">
        <v>462</v>
      </c>
      <c r="B577" t="s">
        <v>109</v>
      </c>
      <c r="C577" t="s">
        <v>588</v>
      </c>
      <c r="D577">
        <v>1000</v>
      </c>
      <c r="E577">
        <v>4755</v>
      </c>
      <c r="F577">
        <v>0.01</v>
      </c>
    </row>
    <row r="578" spans="1:6" hidden="1" x14ac:dyDescent="0.25">
      <c r="A578" t="s">
        <v>462</v>
      </c>
      <c r="B578" t="s">
        <v>109</v>
      </c>
      <c r="C578" t="s">
        <v>589</v>
      </c>
      <c r="D578">
        <v>300</v>
      </c>
      <c r="E578">
        <v>1547</v>
      </c>
      <c r="F578">
        <v>0</v>
      </c>
    </row>
    <row r="579" spans="1:6" hidden="1" x14ac:dyDescent="0.25">
      <c r="A579" t="s">
        <v>462</v>
      </c>
      <c r="B579" t="s">
        <v>109</v>
      </c>
      <c r="C579" t="s">
        <v>590</v>
      </c>
      <c r="D579">
        <v>500</v>
      </c>
      <c r="E579">
        <v>2594</v>
      </c>
      <c r="F579">
        <v>0</v>
      </c>
    </row>
    <row r="580" spans="1:6" hidden="1" x14ac:dyDescent="0.25">
      <c r="A580" t="s">
        <v>462</v>
      </c>
      <c r="B580" t="s">
        <v>109</v>
      </c>
      <c r="C580" t="s">
        <v>591</v>
      </c>
      <c r="D580">
        <v>700</v>
      </c>
      <c r="E580">
        <v>3544</v>
      </c>
      <c r="F580">
        <v>0.01</v>
      </c>
    </row>
    <row r="581" spans="1:6" hidden="1" x14ac:dyDescent="0.25">
      <c r="A581" t="s">
        <v>462</v>
      </c>
      <c r="B581" t="s">
        <v>109</v>
      </c>
      <c r="C581" t="s">
        <v>592</v>
      </c>
      <c r="D581">
        <v>800</v>
      </c>
      <c r="E581">
        <v>3933</v>
      </c>
      <c r="F581">
        <v>0.01</v>
      </c>
    </row>
    <row r="582" spans="1:6" hidden="1" x14ac:dyDescent="0.25">
      <c r="A582" t="s">
        <v>462</v>
      </c>
      <c r="B582" t="s">
        <v>109</v>
      </c>
      <c r="C582" t="s">
        <v>593</v>
      </c>
      <c r="D582">
        <v>1000</v>
      </c>
      <c r="E582">
        <v>5332</v>
      </c>
      <c r="F582">
        <v>0.01</v>
      </c>
    </row>
    <row r="583" spans="1:6" hidden="1" x14ac:dyDescent="0.25">
      <c r="A583" t="s">
        <v>462</v>
      </c>
      <c r="B583" t="s">
        <v>109</v>
      </c>
      <c r="C583" t="s">
        <v>594</v>
      </c>
      <c r="D583">
        <v>300</v>
      </c>
      <c r="E583">
        <v>1658</v>
      </c>
      <c r="F583">
        <v>0.01</v>
      </c>
    </row>
    <row r="584" spans="1:6" hidden="1" x14ac:dyDescent="0.25">
      <c r="A584" t="s">
        <v>462</v>
      </c>
      <c r="B584" t="s">
        <v>109</v>
      </c>
      <c r="C584" t="s">
        <v>595</v>
      </c>
      <c r="D584">
        <v>500</v>
      </c>
      <c r="E584">
        <v>2560</v>
      </c>
      <c r="F584">
        <v>0.01</v>
      </c>
    </row>
    <row r="585" spans="1:6" hidden="1" x14ac:dyDescent="0.25">
      <c r="A585" t="s">
        <v>462</v>
      </c>
      <c r="B585" t="s">
        <v>109</v>
      </c>
      <c r="C585" t="s">
        <v>596</v>
      </c>
      <c r="D585">
        <v>700</v>
      </c>
      <c r="E585">
        <v>3780</v>
      </c>
      <c r="F585">
        <v>0.01</v>
      </c>
    </row>
    <row r="586" spans="1:6" hidden="1" x14ac:dyDescent="0.25">
      <c r="A586" t="s">
        <v>462</v>
      </c>
      <c r="B586" t="s">
        <v>109</v>
      </c>
      <c r="C586" t="s">
        <v>597</v>
      </c>
      <c r="D586">
        <v>800</v>
      </c>
      <c r="E586">
        <v>4238</v>
      </c>
      <c r="F586">
        <v>0.01</v>
      </c>
    </row>
    <row r="587" spans="1:6" hidden="1" x14ac:dyDescent="0.25">
      <c r="A587" t="s">
        <v>462</v>
      </c>
      <c r="B587" t="s">
        <v>109</v>
      </c>
      <c r="C587" t="s">
        <v>598</v>
      </c>
      <c r="D587">
        <v>1000</v>
      </c>
      <c r="E587">
        <v>5258</v>
      </c>
      <c r="F587">
        <v>0.01</v>
      </c>
    </row>
    <row r="588" spans="1:6" hidden="1" x14ac:dyDescent="0.25">
      <c r="A588" t="s">
        <v>462</v>
      </c>
      <c r="B588" t="s">
        <v>109</v>
      </c>
      <c r="C588" t="s">
        <v>599</v>
      </c>
      <c r="D588">
        <v>300</v>
      </c>
      <c r="E588">
        <v>1581</v>
      </c>
      <c r="F588">
        <v>0</v>
      </c>
    </row>
    <row r="589" spans="1:6" hidden="1" x14ac:dyDescent="0.25">
      <c r="A589" t="s">
        <v>462</v>
      </c>
      <c r="B589" t="s">
        <v>109</v>
      </c>
      <c r="C589" t="s">
        <v>600</v>
      </c>
      <c r="D589">
        <v>500</v>
      </c>
      <c r="E589">
        <v>2737</v>
      </c>
      <c r="F589">
        <v>0</v>
      </c>
    </row>
    <row r="590" spans="1:6" hidden="1" x14ac:dyDescent="0.25">
      <c r="A590" t="s">
        <v>462</v>
      </c>
      <c r="B590" t="s">
        <v>109</v>
      </c>
      <c r="C590" t="s">
        <v>601</v>
      </c>
      <c r="D590">
        <v>700</v>
      </c>
      <c r="E590">
        <v>3618</v>
      </c>
      <c r="F590">
        <v>0</v>
      </c>
    </row>
    <row r="591" spans="1:6" hidden="1" x14ac:dyDescent="0.25">
      <c r="A591" t="s">
        <v>462</v>
      </c>
      <c r="B591" t="s">
        <v>109</v>
      </c>
      <c r="C591" t="s">
        <v>602</v>
      </c>
      <c r="D591">
        <v>800</v>
      </c>
      <c r="E591">
        <v>4154</v>
      </c>
      <c r="F591">
        <v>0.01</v>
      </c>
    </row>
    <row r="592" spans="1:6" hidden="1" x14ac:dyDescent="0.25">
      <c r="A592" t="s">
        <v>462</v>
      </c>
      <c r="B592" t="s">
        <v>109</v>
      </c>
      <c r="C592" t="s">
        <v>603</v>
      </c>
      <c r="D592">
        <v>1000</v>
      </c>
      <c r="E592">
        <v>5374</v>
      </c>
      <c r="F592">
        <v>0.01</v>
      </c>
    </row>
    <row r="593" spans="1:6" hidden="1" x14ac:dyDescent="0.25">
      <c r="A593" t="s">
        <v>462</v>
      </c>
      <c r="B593" t="s">
        <v>109</v>
      </c>
      <c r="C593" t="s">
        <v>604</v>
      </c>
      <c r="D593">
        <v>300</v>
      </c>
      <c r="E593">
        <v>1511</v>
      </c>
      <c r="F593">
        <v>0</v>
      </c>
    </row>
    <row r="594" spans="1:6" hidden="1" x14ac:dyDescent="0.25">
      <c r="A594" t="s">
        <v>462</v>
      </c>
      <c r="B594" t="s">
        <v>109</v>
      </c>
      <c r="C594" t="s">
        <v>605</v>
      </c>
      <c r="D594">
        <v>500</v>
      </c>
      <c r="E594">
        <v>2707</v>
      </c>
      <c r="F594">
        <v>0.01</v>
      </c>
    </row>
    <row r="595" spans="1:6" hidden="1" x14ac:dyDescent="0.25">
      <c r="A595" t="s">
        <v>462</v>
      </c>
      <c r="B595" t="s">
        <v>109</v>
      </c>
      <c r="C595" t="s">
        <v>606</v>
      </c>
      <c r="D595">
        <v>700</v>
      </c>
      <c r="E595">
        <v>3879</v>
      </c>
      <c r="F595">
        <v>0.01</v>
      </c>
    </row>
    <row r="596" spans="1:6" hidden="1" x14ac:dyDescent="0.25">
      <c r="A596" t="s">
        <v>462</v>
      </c>
      <c r="B596" t="s">
        <v>109</v>
      </c>
      <c r="C596" t="s">
        <v>607</v>
      </c>
      <c r="D596">
        <v>800</v>
      </c>
      <c r="E596">
        <v>4366</v>
      </c>
      <c r="F596">
        <v>0.01</v>
      </c>
    </row>
    <row r="597" spans="1:6" hidden="1" x14ac:dyDescent="0.25">
      <c r="A597" t="s">
        <v>462</v>
      </c>
      <c r="B597" t="s">
        <v>109</v>
      </c>
      <c r="C597" t="s">
        <v>608</v>
      </c>
      <c r="D597">
        <v>1000</v>
      </c>
      <c r="E597">
        <v>5146</v>
      </c>
      <c r="F597">
        <v>0.01</v>
      </c>
    </row>
    <row r="598" spans="1:6" hidden="1" x14ac:dyDescent="0.25">
      <c r="A598" t="s">
        <v>462</v>
      </c>
      <c r="B598" t="s">
        <v>109</v>
      </c>
      <c r="C598" t="s">
        <v>609</v>
      </c>
      <c r="D598">
        <v>300</v>
      </c>
      <c r="E598">
        <v>1575</v>
      </c>
      <c r="F598">
        <v>0.01</v>
      </c>
    </row>
    <row r="599" spans="1:6" hidden="1" x14ac:dyDescent="0.25">
      <c r="A599" t="s">
        <v>462</v>
      </c>
      <c r="B599" t="s">
        <v>109</v>
      </c>
      <c r="C599" t="s">
        <v>610</v>
      </c>
      <c r="D599">
        <v>500</v>
      </c>
      <c r="E599">
        <v>2567</v>
      </c>
      <c r="F599">
        <v>0.01</v>
      </c>
    </row>
    <row r="600" spans="1:6" hidden="1" x14ac:dyDescent="0.25">
      <c r="A600" t="s">
        <v>462</v>
      </c>
      <c r="B600" t="s">
        <v>109</v>
      </c>
      <c r="C600" t="s">
        <v>611</v>
      </c>
      <c r="D600">
        <v>700</v>
      </c>
      <c r="E600">
        <v>3685</v>
      </c>
      <c r="F600">
        <v>0.01</v>
      </c>
    </row>
    <row r="601" spans="1:6" hidden="1" x14ac:dyDescent="0.25">
      <c r="A601" t="s">
        <v>462</v>
      </c>
      <c r="B601" t="s">
        <v>109</v>
      </c>
      <c r="C601" t="s">
        <v>612</v>
      </c>
      <c r="D601">
        <v>800</v>
      </c>
      <c r="E601">
        <v>4045</v>
      </c>
      <c r="F601">
        <v>0.01</v>
      </c>
    </row>
  </sheetData>
  <autoFilter ref="A1:F601" xr:uid="{98BFD9B4-F105-4924-AF2F-3C516C99533F}">
    <filterColumn colId="0">
      <filters>
        <filter val="scenario 1"/>
      </filters>
    </filterColumn>
    <filterColumn colId="1">
      <filters>
        <filter val="correlated"/>
      </filters>
    </filterColumn>
    <filterColumn colId="3">
      <filters>
        <filter val="3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E3A5-F16A-4AD0-8825-7199CD120199}">
  <sheetPr filterMode="1"/>
  <dimension ref="A1:F601"/>
  <sheetViews>
    <sheetView zoomScale="81" workbookViewId="0">
      <selection activeCell="E8" sqref="E8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60.85546875" bestFit="1" customWidth="1"/>
    <col min="4" max="4" width="5" bestFit="1" customWidth="1"/>
    <col min="5" max="5" width="22.2851562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  <c r="C2" t="s">
        <v>8</v>
      </c>
      <c r="D2">
        <v>1000</v>
      </c>
      <c r="E2" t="s">
        <v>613</v>
      </c>
      <c r="F2" t="s">
        <v>614</v>
      </c>
    </row>
    <row r="3" spans="1:6" x14ac:dyDescent="0.25">
      <c r="A3" t="s">
        <v>6</v>
      </c>
      <c r="B3" t="s">
        <v>7</v>
      </c>
      <c r="C3" t="s">
        <v>9</v>
      </c>
      <c r="D3">
        <v>300</v>
      </c>
      <c r="E3" s="23">
        <v>1.27133333333333E+16</v>
      </c>
      <c r="F3" t="s">
        <v>615</v>
      </c>
    </row>
    <row r="4" spans="1:6" hidden="1" x14ac:dyDescent="0.25">
      <c r="A4" t="s">
        <v>6</v>
      </c>
      <c r="B4" t="s">
        <v>7</v>
      </c>
      <c r="C4" t="s">
        <v>10</v>
      </c>
      <c r="D4">
        <v>500</v>
      </c>
      <c r="E4" s="23">
        <v>1767230769230760</v>
      </c>
      <c r="F4" t="s">
        <v>615</v>
      </c>
    </row>
    <row r="5" spans="1:6" hidden="1" x14ac:dyDescent="0.25">
      <c r="A5" t="s">
        <v>6</v>
      </c>
      <c r="B5" t="s">
        <v>7</v>
      </c>
      <c r="C5" t="s">
        <v>11</v>
      </c>
      <c r="D5">
        <v>700</v>
      </c>
      <c r="E5" t="s">
        <v>616</v>
      </c>
      <c r="F5" t="s">
        <v>615</v>
      </c>
    </row>
    <row r="6" spans="1:6" hidden="1" x14ac:dyDescent="0.25">
      <c r="A6" t="s">
        <v>6</v>
      </c>
      <c r="B6" t="s">
        <v>7</v>
      </c>
      <c r="C6" t="s">
        <v>12</v>
      </c>
      <c r="D6">
        <v>800</v>
      </c>
      <c r="E6" t="s">
        <v>617</v>
      </c>
      <c r="F6" t="s">
        <v>615</v>
      </c>
    </row>
    <row r="7" spans="1:6" hidden="1" x14ac:dyDescent="0.25">
      <c r="A7" t="s">
        <v>6</v>
      </c>
      <c r="B7" t="s">
        <v>7</v>
      </c>
      <c r="C7" t="s">
        <v>13</v>
      </c>
      <c r="D7">
        <v>1000</v>
      </c>
      <c r="E7" t="s">
        <v>613</v>
      </c>
      <c r="F7" t="s">
        <v>615</v>
      </c>
    </row>
    <row r="8" spans="1:6" x14ac:dyDescent="0.25">
      <c r="A8" t="s">
        <v>6</v>
      </c>
      <c r="B8" t="s">
        <v>7</v>
      </c>
      <c r="C8" t="s">
        <v>14</v>
      </c>
      <c r="D8">
        <v>300</v>
      </c>
      <c r="E8" s="23">
        <v>1175111111111110</v>
      </c>
      <c r="F8" t="s">
        <v>615</v>
      </c>
    </row>
    <row r="9" spans="1:6" hidden="1" x14ac:dyDescent="0.25">
      <c r="A9" t="s">
        <v>6</v>
      </c>
      <c r="B9" t="s">
        <v>7</v>
      </c>
      <c r="C9" t="s">
        <v>15</v>
      </c>
      <c r="D9">
        <v>500</v>
      </c>
      <c r="E9" t="s">
        <v>618</v>
      </c>
      <c r="F9" t="s">
        <v>615</v>
      </c>
    </row>
    <row r="10" spans="1:6" hidden="1" x14ac:dyDescent="0.25">
      <c r="A10" t="s">
        <v>6</v>
      </c>
      <c r="B10" t="s">
        <v>7</v>
      </c>
      <c r="C10" t="s">
        <v>16</v>
      </c>
      <c r="D10">
        <v>700</v>
      </c>
      <c r="E10" t="s">
        <v>619</v>
      </c>
      <c r="F10" t="s">
        <v>615</v>
      </c>
    </row>
    <row r="11" spans="1:6" hidden="1" x14ac:dyDescent="0.25">
      <c r="A11" t="s">
        <v>6</v>
      </c>
      <c r="B11" t="s">
        <v>7</v>
      </c>
      <c r="C11" t="s">
        <v>17</v>
      </c>
      <c r="D11">
        <v>800</v>
      </c>
      <c r="E11" t="s">
        <v>620</v>
      </c>
      <c r="F11" t="s">
        <v>615</v>
      </c>
    </row>
    <row r="12" spans="1:6" hidden="1" x14ac:dyDescent="0.25">
      <c r="A12" t="s">
        <v>6</v>
      </c>
      <c r="B12" t="s">
        <v>7</v>
      </c>
      <c r="C12" t="s">
        <v>18</v>
      </c>
      <c r="D12">
        <v>1000</v>
      </c>
      <c r="E12" t="s">
        <v>621</v>
      </c>
      <c r="F12" t="s">
        <v>615</v>
      </c>
    </row>
    <row r="13" spans="1:6" x14ac:dyDescent="0.25">
      <c r="A13" t="s">
        <v>6</v>
      </c>
      <c r="B13" t="s">
        <v>7</v>
      </c>
      <c r="C13" t="s">
        <v>19</v>
      </c>
      <c r="D13">
        <v>300</v>
      </c>
      <c r="E13" t="s">
        <v>622</v>
      </c>
      <c r="F13" t="s">
        <v>615</v>
      </c>
    </row>
    <row r="14" spans="1:6" hidden="1" x14ac:dyDescent="0.25">
      <c r="A14" t="s">
        <v>6</v>
      </c>
      <c r="B14" t="s">
        <v>7</v>
      </c>
      <c r="C14" t="s">
        <v>20</v>
      </c>
      <c r="D14">
        <v>500</v>
      </c>
      <c r="E14" t="s">
        <v>623</v>
      </c>
      <c r="F14" t="s">
        <v>615</v>
      </c>
    </row>
    <row r="15" spans="1:6" hidden="1" x14ac:dyDescent="0.25">
      <c r="A15" t="s">
        <v>6</v>
      </c>
      <c r="B15" t="s">
        <v>7</v>
      </c>
      <c r="C15" t="s">
        <v>21</v>
      </c>
      <c r="D15">
        <v>700</v>
      </c>
      <c r="E15" t="s">
        <v>624</v>
      </c>
      <c r="F15" t="s">
        <v>615</v>
      </c>
    </row>
    <row r="16" spans="1:6" hidden="1" x14ac:dyDescent="0.25">
      <c r="A16" t="s">
        <v>6</v>
      </c>
      <c r="B16" t="s">
        <v>7</v>
      </c>
      <c r="C16" t="s">
        <v>22</v>
      </c>
      <c r="D16">
        <v>800</v>
      </c>
      <c r="E16" t="s">
        <v>625</v>
      </c>
      <c r="F16" t="s">
        <v>615</v>
      </c>
    </row>
    <row r="17" spans="1:6" hidden="1" x14ac:dyDescent="0.25">
      <c r="A17" t="s">
        <v>6</v>
      </c>
      <c r="B17" t="s">
        <v>7</v>
      </c>
      <c r="C17" t="s">
        <v>23</v>
      </c>
      <c r="D17">
        <v>1000</v>
      </c>
      <c r="E17" t="s">
        <v>613</v>
      </c>
      <c r="F17" t="s">
        <v>615</v>
      </c>
    </row>
    <row r="18" spans="1:6" x14ac:dyDescent="0.25">
      <c r="A18" t="s">
        <v>6</v>
      </c>
      <c r="B18" t="s">
        <v>7</v>
      </c>
      <c r="C18" t="s">
        <v>24</v>
      </c>
      <c r="D18">
        <v>300</v>
      </c>
      <c r="E18" s="23">
        <v>1.21575E+16</v>
      </c>
      <c r="F18" t="s">
        <v>615</v>
      </c>
    </row>
    <row r="19" spans="1:6" hidden="1" x14ac:dyDescent="0.25">
      <c r="A19" t="s">
        <v>6</v>
      </c>
      <c r="B19" t="s">
        <v>7</v>
      </c>
      <c r="C19" t="s">
        <v>25</v>
      </c>
      <c r="D19">
        <v>500</v>
      </c>
      <c r="E19" s="23">
        <v>1.77646153846153E+16</v>
      </c>
      <c r="F19" t="s">
        <v>615</v>
      </c>
    </row>
    <row r="20" spans="1:6" hidden="1" x14ac:dyDescent="0.25">
      <c r="A20" t="s">
        <v>6</v>
      </c>
      <c r="B20" t="s">
        <v>7</v>
      </c>
      <c r="C20" t="s">
        <v>26</v>
      </c>
      <c r="D20">
        <v>700</v>
      </c>
      <c r="E20" t="s">
        <v>626</v>
      </c>
      <c r="F20" t="s">
        <v>615</v>
      </c>
    </row>
    <row r="21" spans="1:6" hidden="1" x14ac:dyDescent="0.25">
      <c r="A21" t="s">
        <v>6</v>
      </c>
      <c r="B21" t="s">
        <v>7</v>
      </c>
      <c r="C21" t="s">
        <v>27</v>
      </c>
      <c r="D21">
        <v>800</v>
      </c>
      <c r="E21" s="23">
        <v>2.317E+16</v>
      </c>
      <c r="F21" t="s">
        <v>615</v>
      </c>
    </row>
    <row r="22" spans="1:6" hidden="1" x14ac:dyDescent="0.25">
      <c r="A22" t="s">
        <v>6</v>
      </c>
      <c r="B22" t="s">
        <v>7</v>
      </c>
      <c r="C22" t="s">
        <v>28</v>
      </c>
      <c r="D22">
        <v>1000</v>
      </c>
      <c r="E22" t="s">
        <v>627</v>
      </c>
      <c r="F22" t="s">
        <v>615</v>
      </c>
    </row>
    <row r="23" spans="1:6" x14ac:dyDescent="0.25">
      <c r="A23" t="s">
        <v>6</v>
      </c>
      <c r="B23" t="s">
        <v>7</v>
      </c>
      <c r="C23" t="s">
        <v>29</v>
      </c>
      <c r="D23">
        <v>300</v>
      </c>
      <c r="E23" s="23">
        <v>1.20133333333333E+16</v>
      </c>
      <c r="F23" t="s">
        <v>615</v>
      </c>
    </row>
    <row r="24" spans="1:6" hidden="1" x14ac:dyDescent="0.25">
      <c r="A24" t="s">
        <v>6</v>
      </c>
      <c r="B24" t="s">
        <v>7</v>
      </c>
      <c r="C24" t="s">
        <v>30</v>
      </c>
      <c r="D24">
        <v>500</v>
      </c>
      <c r="E24" s="23">
        <v>1756421052631570</v>
      </c>
      <c r="F24" t="s">
        <v>615</v>
      </c>
    </row>
    <row r="25" spans="1:6" hidden="1" x14ac:dyDescent="0.25">
      <c r="A25" t="s">
        <v>6</v>
      </c>
      <c r="B25" t="s">
        <v>7</v>
      </c>
      <c r="C25" t="s">
        <v>31</v>
      </c>
      <c r="D25">
        <v>700</v>
      </c>
      <c r="E25" t="s">
        <v>619</v>
      </c>
      <c r="F25" t="s">
        <v>615</v>
      </c>
    </row>
    <row r="26" spans="1:6" hidden="1" x14ac:dyDescent="0.25">
      <c r="A26" t="s">
        <v>6</v>
      </c>
      <c r="B26" t="s">
        <v>7</v>
      </c>
      <c r="C26" t="s">
        <v>32</v>
      </c>
      <c r="D26">
        <v>800</v>
      </c>
      <c r="E26" t="s">
        <v>628</v>
      </c>
      <c r="F26" t="s">
        <v>615</v>
      </c>
    </row>
    <row r="27" spans="1:6" hidden="1" x14ac:dyDescent="0.25">
      <c r="A27" t="s">
        <v>6</v>
      </c>
      <c r="B27" t="s">
        <v>7</v>
      </c>
      <c r="C27" t="s">
        <v>33</v>
      </c>
      <c r="D27">
        <v>1000</v>
      </c>
      <c r="E27" t="s">
        <v>629</v>
      </c>
      <c r="F27" t="s">
        <v>615</v>
      </c>
    </row>
    <row r="28" spans="1:6" x14ac:dyDescent="0.25">
      <c r="A28" t="s">
        <v>6</v>
      </c>
      <c r="B28" t="s">
        <v>7</v>
      </c>
      <c r="C28" t="s">
        <v>34</v>
      </c>
      <c r="D28">
        <v>300</v>
      </c>
      <c r="E28" t="s">
        <v>630</v>
      </c>
      <c r="F28" t="s">
        <v>615</v>
      </c>
    </row>
    <row r="29" spans="1:6" hidden="1" x14ac:dyDescent="0.25">
      <c r="A29" t="s">
        <v>6</v>
      </c>
      <c r="B29" t="s">
        <v>7</v>
      </c>
      <c r="C29" t="s">
        <v>35</v>
      </c>
      <c r="D29">
        <v>500</v>
      </c>
      <c r="E29" t="s">
        <v>631</v>
      </c>
      <c r="F29" t="s">
        <v>615</v>
      </c>
    </row>
    <row r="30" spans="1:6" hidden="1" x14ac:dyDescent="0.25">
      <c r="A30" t="s">
        <v>6</v>
      </c>
      <c r="B30" t="s">
        <v>7</v>
      </c>
      <c r="C30" t="s">
        <v>36</v>
      </c>
      <c r="D30">
        <v>700</v>
      </c>
      <c r="E30" t="s">
        <v>632</v>
      </c>
      <c r="F30" t="s">
        <v>615</v>
      </c>
    </row>
    <row r="31" spans="1:6" hidden="1" x14ac:dyDescent="0.25">
      <c r="A31" t="s">
        <v>6</v>
      </c>
      <c r="B31" t="s">
        <v>7</v>
      </c>
      <c r="C31" t="s">
        <v>37</v>
      </c>
      <c r="D31">
        <v>800</v>
      </c>
      <c r="E31" t="s">
        <v>633</v>
      </c>
      <c r="F31" t="s">
        <v>615</v>
      </c>
    </row>
    <row r="32" spans="1:6" hidden="1" x14ac:dyDescent="0.25">
      <c r="A32" t="s">
        <v>6</v>
      </c>
      <c r="B32" t="s">
        <v>7</v>
      </c>
      <c r="C32" t="s">
        <v>38</v>
      </c>
      <c r="D32">
        <v>1000</v>
      </c>
      <c r="E32" t="s">
        <v>634</v>
      </c>
      <c r="F32" t="s">
        <v>615</v>
      </c>
    </row>
    <row r="33" spans="1:6" x14ac:dyDescent="0.25">
      <c r="A33" t="s">
        <v>6</v>
      </c>
      <c r="B33" t="s">
        <v>7</v>
      </c>
      <c r="C33" t="s">
        <v>39</v>
      </c>
      <c r="D33">
        <v>300</v>
      </c>
      <c r="E33" s="23">
        <v>1.20833333333333E+16</v>
      </c>
      <c r="F33" t="s">
        <v>615</v>
      </c>
    </row>
    <row r="34" spans="1:6" hidden="1" x14ac:dyDescent="0.25">
      <c r="A34" t="s">
        <v>6</v>
      </c>
      <c r="B34" t="s">
        <v>7</v>
      </c>
      <c r="C34" t="s">
        <v>40</v>
      </c>
      <c r="D34">
        <v>500</v>
      </c>
      <c r="E34" s="23">
        <v>1819625</v>
      </c>
      <c r="F34" t="s">
        <v>615</v>
      </c>
    </row>
    <row r="35" spans="1:6" hidden="1" x14ac:dyDescent="0.25">
      <c r="A35" t="s">
        <v>6</v>
      </c>
      <c r="B35" t="s">
        <v>7</v>
      </c>
      <c r="C35" t="s">
        <v>41</v>
      </c>
      <c r="D35">
        <v>700</v>
      </c>
      <c r="E35" t="s">
        <v>635</v>
      </c>
      <c r="F35" t="s">
        <v>615</v>
      </c>
    </row>
    <row r="36" spans="1:6" hidden="1" x14ac:dyDescent="0.25">
      <c r="A36" t="s">
        <v>6</v>
      </c>
      <c r="B36" t="s">
        <v>7</v>
      </c>
      <c r="C36" t="s">
        <v>42</v>
      </c>
      <c r="D36">
        <v>800</v>
      </c>
      <c r="E36" t="s">
        <v>636</v>
      </c>
      <c r="F36" t="s">
        <v>615</v>
      </c>
    </row>
    <row r="37" spans="1:6" hidden="1" x14ac:dyDescent="0.25">
      <c r="A37" t="s">
        <v>6</v>
      </c>
      <c r="B37" t="s">
        <v>7</v>
      </c>
      <c r="C37" t="s">
        <v>43</v>
      </c>
      <c r="D37">
        <v>1000</v>
      </c>
      <c r="E37" t="s">
        <v>621</v>
      </c>
      <c r="F37" t="s">
        <v>615</v>
      </c>
    </row>
    <row r="38" spans="1:6" x14ac:dyDescent="0.25">
      <c r="A38" t="s">
        <v>6</v>
      </c>
      <c r="B38" t="s">
        <v>7</v>
      </c>
      <c r="C38" t="s">
        <v>44</v>
      </c>
      <c r="D38">
        <v>300</v>
      </c>
      <c r="E38" s="23">
        <v>1.23666666666666E+16</v>
      </c>
      <c r="F38" t="s">
        <v>615</v>
      </c>
    </row>
    <row r="39" spans="1:6" hidden="1" x14ac:dyDescent="0.25">
      <c r="A39" t="s">
        <v>6</v>
      </c>
      <c r="B39" t="s">
        <v>7</v>
      </c>
      <c r="C39" t="s">
        <v>45</v>
      </c>
      <c r="D39">
        <v>500</v>
      </c>
      <c r="E39" t="s">
        <v>637</v>
      </c>
      <c r="F39" t="s">
        <v>615</v>
      </c>
    </row>
    <row r="40" spans="1:6" hidden="1" x14ac:dyDescent="0.25">
      <c r="A40" t="s">
        <v>6</v>
      </c>
      <c r="B40" t="s">
        <v>7</v>
      </c>
      <c r="C40" t="s">
        <v>46</v>
      </c>
      <c r="D40">
        <v>700</v>
      </c>
      <c r="E40" t="s">
        <v>638</v>
      </c>
      <c r="F40" t="s">
        <v>615</v>
      </c>
    </row>
    <row r="41" spans="1:6" hidden="1" x14ac:dyDescent="0.25">
      <c r="A41" t="s">
        <v>6</v>
      </c>
      <c r="B41" t="s">
        <v>7</v>
      </c>
      <c r="C41" t="s">
        <v>47</v>
      </c>
      <c r="D41">
        <v>800</v>
      </c>
      <c r="E41" t="s">
        <v>639</v>
      </c>
      <c r="F41" t="s">
        <v>615</v>
      </c>
    </row>
    <row r="42" spans="1:6" hidden="1" x14ac:dyDescent="0.25">
      <c r="A42" t="s">
        <v>6</v>
      </c>
      <c r="B42" t="s">
        <v>7</v>
      </c>
      <c r="C42" t="s">
        <v>48</v>
      </c>
      <c r="D42">
        <v>1000</v>
      </c>
      <c r="E42" t="s">
        <v>640</v>
      </c>
      <c r="F42" t="s">
        <v>615</v>
      </c>
    </row>
    <row r="43" spans="1:6" x14ac:dyDescent="0.25">
      <c r="A43" t="s">
        <v>6</v>
      </c>
      <c r="B43" t="s">
        <v>7</v>
      </c>
      <c r="C43" t="s">
        <v>49</v>
      </c>
      <c r="D43">
        <v>300</v>
      </c>
      <c r="E43" s="23">
        <v>12425625</v>
      </c>
      <c r="F43" t="s">
        <v>615</v>
      </c>
    </row>
    <row r="44" spans="1:6" hidden="1" x14ac:dyDescent="0.25">
      <c r="A44" t="s">
        <v>6</v>
      </c>
      <c r="B44" t="s">
        <v>7</v>
      </c>
      <c r="C44" t="s">
        <v>50</v>
      </c>
      <c r="D44">
        <v>500</v>
      </c>
      <c r="E44" t="s">
        <v>641</v>
      </c>
      <c r="F44" t="s">
        <v>615</v>
      </c>
    </row>
    <row r="45" spans="1:6" hidden="1" x14ac:dyDescent="0.25">
      <c r="A45" t="s">
        <v>6</v>
      </c>
      <c r="B45" t="s">
        <v>7</v>
      </c>
      <c r="C45" t="s">
        <v>51</v>
      </c>
      <c r="D45">
        <v>700</v>
      </c>
      <c r="E45" t="s">
        <v>638</v>
      </c>
      <c r="F45" t="s">
        <v>615</v>
      </c>
    </row>
    <row r="46" spans="1:6" hidden="1" x14ac:dyDescent="0.25">
      <c r="A46" t="s">
        <v>6</v>
      </c>
      <c r="B46" t="s">
        <v>7</v>
      </c>
      <c r="C46" t="s">
        <v>52</v>
      </c>
      <c r="D46">
        <v>800</v>
      </c>
      <c r="E46" t="s">
        <v>642</v>
      </c>
      <c r="F46" t="s">
        <v>615</v>
      </c>
    </row>
    <row r="47" spans="1:6" hidden="1" x14ac:dyDescent="0.25">
      <c r="A47" t="s">
        <v>6</v>
      </c>
      <c r="B47" t="s">
        <v>7</v>
      </c>
      <c r="C47" t="s">
        <v>53</v>
      </c>
      <c r="D47">
        <v>1000</v>
      </c>
      <c r="E47" t="s">
        <v>643</v>
      </c>
      <c r="F47" t="s">
        <v>615</v>
      </c>
    </row>
    <row r="48" spans="1:6" x14ac:dyDescent="0.25">
      <c r="A48" t="s">
        <v>6</v>
      </c>
      <c r="B48" t="s">
        <v>7</v>
      </c>
      <c r="C48" t="s">
        <v>54</v>
      </c>
      <c r="D48">
        <v>300</v>
      </c>
      <c r="E48" s="23">
        <v>1171125</v>
      </c>
      <c r="F48" t="s">
        <v>615</v>
      </c>
    </row>
    <row r="49" spans="1:6" hidden="1" x14ac:dyDescent="0.25">
      <c r="A49" t="s">
        <v>6</v>
      </c>
      <c r="B49" t="s">
        <v>7</v>
      </c>
      <c r="C49" t="s">
        <v>55</v>
      </c>
      <c r="D49">
        <v>500</v>
      </c>
      <c r="E49" s="23">
        <v>1.76868421052631E+16</v>
      </c>
      <c r="F49" t="s">
        <v>615</v>
      </c>
    </row>
    <row r="50" spans="1:6" hidden="1" x14ac:dyDescent="0.25">
      <c r="A50" t="s">
        <v>6</v>
      </c>
      <c r="B50" t="s">
        <v>7</v>
      </c>
      <c r="C50" t="s">
        <v>56</v>
      </c>
      <c r="D50">
        <v>700</v>
      </c>
      <c r="E50" t="s">
        <v>644</v>
      </c>
      <c r="F50" t="s">
        <v>615</v>
      </c>
    </row>
    <row r="51" spans="1:6" hidden="1" x14ac:dyDescent="0.25">
      <c r="A51" t="s">
        <v>6</v>
      </c>
      <c r="B51" t="s">
        <v>7</v>
      </c>
      <c r="C51" t="s">
        <v>57</v>
      </c>
      <c r="D51">
        <v>800</v>
      </c>
      <c r="E51" t="s">
        <v>645</v>
      </c>
      <c r="F51" t="s">
        <v>615</v>
      </c>
    </row>
    <row r="52" spans="1:6" hidden="1" x14ac:dyDescent="0.25">
      <c r="A52" t="s">
        <v>6</v>
      </c>
      <c r="B52" t="s">
        <v>58</v>
      </c>
      <c r="C52" t="s">
        <v>59</v>
      </c>
      <c r="D52">
        <v>1000</v>
      </c>
      <c r="E52" s="23">
        <v>2.654E+16</v>
      </c>
      <c r="F52" t="s">
        <v>615</v>
      </c>
    </row>
    <row r="53" spans="1:6" hidden="1" x14ac:dyDescent="0.25">
      <c r="A53" t="s">
        <v>6</v>
      </c>
      <c r="B53" t="s">
        <v>58</v>
      </c>
      <c r="C53" t="s">
        <v>60</v>
      </c>
      <c r="D53">
        <v>300</v>
      </c>
      <c r="E53" s="23">
        <v>1.18666666666666E+16</v>
      </c>
      <c r="F53" t="s">
        <v>615</v>
      </c>
    </row>
    <row r="54" spans="1:6" hidden="1" x14ac:dyDescent="0.25">
      <c r="A54" t="s">
        <v>6</v>
      </c>
      <c r="B54" t="s">
        <v>58</v>
      </c>
      <c r="C54" t="s">
        <v>61</v>
      </c>
      <c r="D54">
        <v>500</v>
      </c>
      <c r="E54" t="s">
        <v>646</v>
      </c>
      <c r="F54" t="s">
        <v>615</v>
      </c>
    </row>
    <row r="55" spans="1:6" hidden="1" x14ac:dyDescent="0.25">
      <c r="A55" t="s">
        <v>6</v>
      </c>
      <c r="B55" t="s">
        <v>58</v>
      </c>
      <c r="C55" t="s">
        <v>62</v>
      </c>
      <c r="D55">
        <v>700</v>
      </c>
      <c r="E55" t="s">
        <v>632</v>
      </c>
      <c r="F55" t="s">
        <v>615</v>
      </c>
    </row>
    <row r="56" spans="1:6" hidden="1" x14ac:dyDescent="0.25">
      <c r="A56" t="s">
        <v>6</v>
      </c>
      <c r="B56" t="s">
        <v>58</v>
      </c>
      <c r="C56" t="s">
        <v>63</v>
      </c>
      <c r="D56">
        <v>800</v>
      </c>
      <c r="E56" t="s">
        <v>647</v>
      </c>
      <c r="F56" t="s">
        <v>615</v>
      </c>
    </row>
    <row r="57" spans="1:6" hidden="1" x14ac:dyDescent="0.25">
      <c r="A57" t="s">
        <v>6</v>
      </c>
      <c r="B57" t="s">
        <v>58</v>
      </c>
      <c r="C57" t="s">
        <v>64</v>
      </c>
      <c r="D57">
        <v>1000</v>
      </c>
      <c r="E57" t="s">
        <v>648</v>
      </c>
      <c r="F57" t="s">
        <v>615</v>
      </c>
    </row>
    <row r="58" spans="1:6" hidden="1" x14ac:dyDescent="0.25">
      <c r="A58" t="s">
        <v>6</v>
      </c>
      <c r="B58" t="s">
        <v>58</v>
      </c>
      <c r="C58" t="s">
        <v>65</v>
      </c>
      <c r="D58">
        <v>300</v>
      </c>
      <c r="E58" s="23">
        <v>1186375</v>
      </c>
      <c r="F58" t="s">
        <v>615</v>
      </c>
    </row>
    <row r="59" spans="1:6" hidden="1" x14ac:dyDescent="0.25">
      <c r="A59" t="s">
        <v>6</v>
      </c>
      <c r="B59" t="s">
        <v>58</v>
      </c>
      <c r="C59" t="s">
        <v>66</v>
      </c>
      <c r="D59">
        <v>500</v>
      </c>
      <c r="E59" t="s">
        <v>649</v>
      </c>
      <c r="F59" t="s">
        <v>615</v>
      </c>
    </row>
    <row r="60" spans="1:6" hidden="1" x14ac:dyDescent="0.25">
      <c r="A60" t="s">
        <v>6</v>
      </c>
      <c r="B60" t="s">
        <v>58</v>
      </c>
      <c r="C60" t="s">
        <v>67</v>
      </c>
      <c r="D60">
        <v>700</v>
      </c>
      <c r="E60" t="s">
        <v>650</v>
      </c>
      <c r="F60" t="s">
        <v>615</v>
      </c>
    </row>
    <row r="61" spans="1:6" hidden="1" x14ac:dyDescent="0.25">
      <c r="A61" t="s">
        <v>6</v>
      </c>
      <c r="B61" t="s">
        <v>58</v>
      </c>
      <c r="C61" t="s">
        <v>68</v>
      </c>
      <c r="D61">
        <v>800</v>
      </c>
      <c r="E61" t="s">
        <v>651</v>
      </c>
      <c r="F61" t="s">
        <v>615</v>
      </c>
    </row>
    <row r="62" spans="1:6" hidden="1" x14ac:dyDescent="0.25">
      <c r="A62" t="s">
        <v>6</v>
      </c>
      <c r="B62" t="s">
        <v>58</v>
      </c>
      <c r="C62" t="s">
        <v>69</v>
      </c>
      <c r="D62">
        <v>1000</v>
      </c>
      <c r="E62" t="s">
        <v>652</v>
      </c>
      <c r="F62" t="s">
        <v>615</v>
      </c>
    </row>
    <row r="63" spans="1:6" hidden="1" x14ac:dyDescent="0.25">
      <c r="A63" t="s">
        <v>6</v>
      </c>
      <c r="B63" t="s">
        <v>58</v>
      </c>
      <c r="C63" t="s">
        <v>70</v>
      </c>
      <c r="D63">
        <v>300</v>
      </c>
      <c r="E63" s="23">
        <v>1.23908695652173E+16</v>
      </c>
      <c r="F63" t="s">
        <v>615</v>
      </c>
    </row>
    <row r="64" spans="1:6" hidden="1" x14ac:dyDescent="0.25">
      <c r="A64" t="s">
        <v>6</v>
      </c>
      <c r="B64" t="s">
        <v>58</v>
      </c>
      <c r="C64" t="s">
        <v>71</v>
      </c>
      <c r="D64">
        <v>500</v>
      </c>
      <c r="E64" t="s">
        <v>653</v>
      </c>
      <c r="F64" t="s">
        <v>615</v>
      </c>
    </row>
    <row r="65" spans="1:6" hidden="1" x14ac:dyDescent="0.25">
      <c r="A65" t="s">
        <v>6</v>
      </c>
      <c r="B65" t="s">
        <v>58</v>
      </c>
      <c r="C65" t="s">
        <v>72</v>
      </c>
      <c r="D65">
        <v>700</v>
      </c>
      <c r="E65" t="s">
        <v>632</v>
      </c>
      <c r="F65" t="s">
        <v>615</v>
      </c>
    </row>
    <row r="66" spans="1:6" hidden="1" x14ac:dyDescent="0.25">
      <c r="A66" t="s">
        <v>6</v>
      </c>
      <c r="B66" t="s">
        <v>58</v>
      </c>
      <c r="C66" t="s">
        <v>73</v>
      </c>
      <c r="D66">
        <v>800</v>
      </c>
      <c r="E66" t="s">
        <v>654</v>
      </c>
      <c r="F66" t="s">
        <v>615</v>
      </c>
    </row>
    <row r="67" spans="1:6" hidden="1" x14ac:dyDescent="0.25">
      <c r="A67" t="s">
        <v>6</v>
      </c>
      <c r="B67" t="s">
        <v>58</v>
      </c>
      <c r="C67" t="s">
        <v>74</v>
      </c>
      <c r="D67">
        <v>1000</v>
      </c>
      <c r="E67" t="s">
        <v>655</v>
      </c>
      <c r="F67" t="s">
        <v>615</v>
      </c>
    </row>
    <row r="68" spans="1:6" hidden="1" x14ac:dyDescent="0.25">
      <c r="A68" t="s">
        <v>6</v>
      </c>
      <c r="B68" t="s">
        <v>58</v>
      </c>
      <c r="C68" t="s">
        <v>75</v>
      </c>
      <c r="D68">
        <v>300</v>
      </c>
      <c r="E68" s="23">
        <v>1228125</v>
      </c>
      <c r="F68" t="s">
        <v>615</v>
      </c>
    </row>
    <row r="69" spans="1:6" hidden="1" x14ac:dyDescent="0.25">
      <c r="A69" t="s">
        <v>6</v>
      </c>
      <c r="B69" t="s">
        <v>58</v>
      </c>
      <c r="C69" t="s">
        <v>76</v>
      </c>
      <c r="D69">
        <v>500</v>
      </c>
      <c r="E69" t="s">
        <v>656</v>
      </c>
      <c r="F69" t="s">
        <v>615</v>
      </c>
    </row>
    <row r="70" spans="1:6" hidden="1" x14ac:dyDescent="0.25">
      <c r="A70" t="s">
        <v>6</v>
      </c>
      <c r="B70" t="s">
        <v>58</v>
      </c>
      <c r="C70" t="s">
        <v>77</v>
      </c>
      <c r="D70">
        <v>700</v>
      </c>
      <c r="E70" t="s">
        <v>657</v>
      </c>
      <c r="F70" t="s">
        <v>615</v>
      </c>
    </row>
    <row r="71" spans="1:6" hidden="1" x14ac:dyDescent="0.25">
      <c r="A71" t="s">
        <v>6</v>
      </c>
      <c r="B71" t="s">
        <v>58</v>
      </c>
      <c r="C71" t="s">
        <v>78</v>
      </c>
      <c r="D71">
        <v>800</v>
      </c>
      <c r="E71" t="s">
        <v>658</v>
      </c>
      <c r="F71" t="s">
        <v>615</v>
      </c>
    </row>
    <row r="72" spans="1:6" hidden="1" x14ac:dyDescent="0.25">
      <c r="A72" t="s">
        <v>6</v>
      </c>
      <c r="B72" t="s">
        <v>58</v>
      </c>
      <c r="C72" t="s">
        <v>79</v>
      </c>
      <c r="D72">
        <v>1000</v>
      </c>
      <c r="E72" t="s">
        <v>659</v>
      </c>
      <c r="F72" t="s">
        <v>615</v>
      </c>
    </row>
    <row r="73" spans="1:6" hidden="1" x14ac:dyDescent="0.25">
      <c r="A73" t="s">
        <v>6</v>
      </c>
      <c r="B73" t="s">
        <v>58</v>
      </c>
      <c r="C73" t="s">
        <v>80</v>
      </c>
      <c r="D73">
        <v>300</v>
      </c>
      <c r="E73" t="s">
        <v>660</v>
      </c>
      <c r="F73" t="s">
        <v>615</v>
      </c>
    </row>
    <row r="74" spans="1:6" hidden="1" x14ac:dyDescent="0.25">
      <c r="A74" t="s">
        <v>6</v>
      </c>
      <c r="B74" t="s">
        <v>58</v>
      </c>
      <c r="C74" t="s">
        <v>81</v>
      </c>
      <c r="D74">
        <v>500</v>
      </c>
      <c r="E74" t="s">
        <v>661</v>
      </c>
      <c r="F74" t="s">
        <v>615</v>
      </c>
    </row>
    <row r="75" spans="1:6" hidden="1" x14ac:dyDescent="0.25">
      <c r="A75" t="s">
        <v>6</v>
      </c>
      <c r="B75" t="s">
        <v>58</v>
      </c>
      <c r="C75" t="s">
        <v>82</v>
      </c>
      <c r="D75">
        <v>700</v>
      </c>
      <c r="E75" t="s">
        <v>662</v>
      </c>
      <c r="F75" t="s">
        <v>615</v>
      </c>
    </row>
    <row r="76" spans="1:6" hidden="1" x14ac:dyDescent="0.25">
      <c r="A76" t="s">
        <v>6</v>
      </c>
      <c r="B76" t="s">
        <v>58</v>
      </c>
      <c r="C76" t="s">
        <v>83</v>
      </c>
      <c r="D76">
        <v>800</v>
      </c>
      <c r="E76" t="s">
        <v>663</v>
      </c>
      <c r="F76" t="s">
        <v>615</v>
      </c>
    </row>
    <row r="77" spans="1:6" hidden="1" x14ac:dyDescent="0.25">
      <c r="A77" t="s">
        <v>6</v>
      </c>
      <c r="B77" t="s">
        <v>58</v>
      </c>
      <c r="C77" t="s">
        <v>84</v>
      </c>
      <c r="D77">
        <v>1000</v>
      </c>
      <c r="E77" t="s">
        <v>664</v>
      </c>
      <c r="F77" t="s">
        <v>615</v>
      </c>
    </row>
    <row r="78" spans="1:6" hidden="1" x14ac:dyDescent="0.25">
      <c r="A78" t="s">
        <v>6</v>
      </c>
      <c r="B78" t="s">
        <v>58</v>
      </c>
      <c r="C78" t="s">
        <v>85</v>
      </c>
      <c r="D78">
        <v>300</v>
      </c>
      <c r="E78" s="23">
        <v>1.21957142857142E+16</v>
      </c>
      <c r="F78" t="s">
        <v>615</v>
      </c>
    </row>
    <row r="79" spans="1:6" hidden="1" x14ac:dyDescent="0.25">
      <c r="A79" t="s">
        <v>6</v>
      </c>
      <c r="B79" t="s">
        <v>58</v>
      </c>
      <c r="C79" t="s">
        <v>86</v>
      </c>
      <c r="D79">
        <v>500</v>
      </c>
      <c r="E79" t="s">
        <v>665</v>
      </c>
      <c r="F79" t="s">
        <v>615</v>
      </c>
    </row>
    <row r="80" spans="1:6" hidden="1" x14ac:dyDescent="0.25">
      <c r="A80" t="s">
        <v>6</v>
      </c>
      <c r="B80" t="s">
        <v>58</v>
      </c>
      <c r="C80" t="s">
        <v>87</v>
      </c>
      <c r="D80">
        <v>700</v>
      </c>
      <c r="E80" t="s">
        <v>638</v>
      </c>
      <c r="F80" t="s">
        <v>615</v>
      </c>
    </row>
    <row r="81" spans="1:6" hidden="1" x14ac:dyDescent="0.25">
      <c r="A81" t="s">
        <v>6</v>
      </c>
      <c r="B81" t="s">
        <v>58</v>
      </c>
      <c r="C81" t="s">
        <v>88</v>
      </c>
      <c r="D81">
        <v>800</v>
      </c>
      <c r="E81" t="s">
        <v>666</v>
      </c>
      <c r="F81" t="s">
        <v>615</v>
      </c>
    </row>
    <row r="82" spans="1:6" hidden="1" x14ac:dyDescent="0.25">
      <c r="A82" t="s">
        <v>6</v>
      </c>
      <c r="B82" t="s">
        <v>58</v>
      </c>
      <c r="C82" t="s">
        <v>89</v>
      </c>
      <c r="D82">
        <v>1000</v>
      </c>
      <c r="E82" t="s">
        <v>667</v>
      </c>
      <c r="F82" t="s">
        <v>615</v>
      </c>
    </row>
    <row r="83" spans="1:6" hidden="1" x14ac:dyDescent="0.25">
      <c r="A83" t="s">
        <v>6</v>
      </c>
      <c r="B83" t="s">
        <v>58</v>
      </c>
      <c r="C83" t="s">
        <v>90</v>
      </c>
      <c r="D83">
        <v>300</v>
      </c>
      <c r="E83" s="23">
        <v>1.21417647058823E+16</v>
      </c>
      <c r="F83" t="s">
        <v>615</v>
      </c>
    </row>
    <row r="84" spans="1:6" hidden="1" x14ac:dyDescent="0.25">
      <c r="A84" t="s">
        <v>6</v>
      </c>
      <c r="B84" t="s">
        <v>58</v>
      </c>
      <c r="C84" t="s">
        <v>91</v>
      </c>
      <c r="D84">
        <v>500</v>
      </c>
      <c r="E84" t="s">
        <v>668</v>
      </c>
      <c r="F84" t="s">
        <v>615</v>
      </c>
    </row>
    <row r="85" spans="1:6" hidden="1" x14ac:dyDescent="0.25">
      <c r="A85" t="s">
        <v>6</v>
      </c>
      <c r="B85" t="s">
        <v>58</v>
      </c>
      <c r="C85" t="s">
        <v>92</v>
      </c>
      <c r="D85">
        <v>700</v>
      </c>
      <c r="E85" t="s">
        <v>669</v>
      </c>
      <c r="F85" t="s">
        <v>615</v>
      </c>
    </row>
    <row r="86" spans="1:6" hidden="1" x14ac:dyDescent="0.25">
      <c r="A86" t="s">
        <v>6</v>
      </c>
      <c r="B86" t="s">
        <v>58</v>
      </c>
      <c r="C86" t="s">
        <v>93</v>
      </c>
      <c r="D86">
        <v>800</v>
      </c>
      <c r="E86" t="s">
        <v>651</v>
      </c>
      <c r="F86" t="s">
        <v>615</v>
      </c>
    </row>
    <row r="87" spans="1:6" hidden="1" x14ac:dyDescent="0.25">
      <c r="A87" t="s">
        <v>6</v>
      </c>
      <c r="B87" t="s">
        <v>58</v>
      </c>
      <c r="C87" t="s">
        <v>94</v>
      </c>
      <c r="D87">
        <v>1000</v>
      </c>
      <c r="E87" t="s">
        <v>670</v>
      </c>
      <c r="F87" t="s">
        <v>615</v>
      </c>
    </row>
    <row r="88" spans="1:6" hidden="1" x14ac:dyDescent="0.25">
      <c r="A88" t="s">
        <v>6</v>
      </c>
      <c r="B88" t="s">
        <v>58</v>
      </c>
      <c r="C88" t="s">
        <v>95</v>
      </c>
      <c r="D88">
        <v>300</v>
      </c>
      <c r="E88" t="s">
        <v>671</v>
      </c>
      <c r="F88" t="s">
        <v>615</v>
      </c>
    </row>
    <row r="89" spans="1:6" hidden="1" x14ac:dyDescent="0.25">
      <c r="A89" t="s">
        <v>6</v>
      </c>
      <c r="B89" t="s">
        <v>58</v>
      </c>
      <c r="C89" t="s">
        <v>96</v>
      </c>
      <c r="D89">
        <v>500</v>
      </c>
      <c r="E89" s="23">
        <v>1.82292857142857E+16</v>
      </c>
      <c r="F89" t="s">
        <v>615</v>
      </c>
    </row>
    <row r="90" spans="1:6" hidden="1" x14ac:dyDescent="0.25">
      <c r="A90" t="s">
        <v>6</v>
      </c>
      <c r="B90" t="s">
        <v>58</v>
      </c>
      <c r="C90" t="s">
        <v>97</v>
      </c>
      <c r="D90">
        <v>700</v>
      </c>
      <c r="E90" t="s">
        <v>672</v>
      </c>
      <c r="F90" t="s">
        <v>615</v>
      </c>
    </row>
    <row r="91" spans="1:6" hidden="1" x14ac:dyDescent="0.25">
      <c r="A91" t="s">
        <v>6</v>
      </c>
      <c r="B91" t="s">
        <v>58</v>
      </c>
      <c r="C91" t="s">
        <v>98</v>
      </c>
      <c r="D91">
        <v>800</v>
      </c>
      <c r="E91" t="s">
        <v>673</v>
      </c>
      <c r="F91" t="s">
        <v>615</v>
      </c>
    </row>
    <row r="92" spans="1:6" hidden="1" x14ac:dyDescent="0.25">
      <c r="A92" t="s">
        <v>6</v>
      </c>
      <c r="B92" t="s">
        <v>58</v>
      </c>
      <c r="C92" t="s">
        <v>99</v>
      </c>
      <c r="D92">
        <v>1000</v>
      </c>
      <c r="E92" s="23">
        <v>2.63399999999999E+16</v>
      </c>
      <c r="F92" t="s">
        <v>615</v>
      </c>
    </row>
    <row r="93" spans="1:6" hidden="1" x14ac:dyDescent="0.25">
      <c r="A93" t="s">
        <v>6</v>
      </c>
      <c r="B93" t="s">
        <v>58</v>
      </c>
      <c r="C93" t="s">
        <v>100</v>
      </c>
      <c r="D93">
        <v>300</v>
      </c>
      <c r="E93" t="s">
        <v>674</v>
      </c>
      <c r="F93" t="s">
        <v>615</v>
      </c>
    </row>
    <row r="94" spans="1:6" hidden="1" x14ac:dyDescent="0.25">
      <c r="A94" t="s">
        <v>6</v>
      </c>
      <c r="B94" t="s">
        <v>58</v>
      </c>
      <c r="C94" t="s">
        <v>101</v>
      </c>
      <c r="D94">
        <v>500</v>
      </c>
      <c r="E94" s="23">
        <v>1.72099999999999E+16</v>
      </c>
      <c r="F94" t="s">
        <v>615</v>
      </c>
    </row>
    <row r="95" spans="1:6" hidden="1" x14ac:dyDescent="0.25">
      <c r="A95" t="s">
        <v>6</v>
      </c>
      <c r="B95" t="s">
        <v>58</v>
      </c>
      <c r="C95" t="s">
        <v>102</v>
      </c>
      <c r="D95">
        <v>700</v>
      </c>
      <c r="E95" t="s">
        <v>675</v>
      </c>
      <c r="F95" t="s">
        <v>615</v>
      </c>
    </row>
    <row r="96" spans="1:6" hidden="1" x14ac:dyDescent="0.25">
      <c r="A96" t="s">
        <v>6</v>
      </c>
      <c r="B96" t="s">
        <v>58</v>
      </c>
      <c r="C96" t="s">
        <v>103</v>
      </c>
      <c r="D96">
        <v>800</v>
      </c>
      <c r="E96" t="s">
        <v>676</v>
      </c>
      <c r="F96" t="s">
        <v>615</v>
      </c>
    </row>
    <row r="97" spans="1:6" hidden="1" x14ac:dyDescent="0.25">
      <c r="A97" t="s">
        <v>6</v>
      </c>
      <c r="B97" t="s">
        <v>58</v>
      </c>
      <c r="C97" t="s">
        <v>104</v>
      </c>
      <c r="D97">
        <v>1000</v>
      </c>
      <c r="E97" t="s">
        <v>655</v>
      </c>
      <c r="F97" t="s">
        <v>615</v>
      </c>
    </row>
    <row r="98" spans="1:6" hidden="1" x14ac:dyDescent="0.25">
      <c r="A98" t="s">
        <v>6</v>
      </c>
      <c r="B98" t="s">
        <v>58</v>
      </c>
      <c r="C98" t="s">
        <v>105</v>
      </c>
      <c r="D98">
        <v>300</v>
      </c>
      <c r="E98" s="23">
        <v>1.16929411764705E+16</v>
      </c>
      <c r="F98" t="s">
        <v>615</v>
      </c>
    </row>
    <row r="99" spans="1:6" hidden="1" x14ac:dyDescent="0.25">
      <c r="A99" t="s">
        <v>6</v>
      </c>
      <c r="B99" t="s">
        <v>58</v>
      </c>
      <c r="C99" t="s">
        <v>106</v>
      </c>
      <c r="D99">
        <v>500</v>
      </c>
      <c r="E99" t="s">
        <v>677</v>
      </c>
      <c r="F99" t="s">
        <v>615</v>
      </c>
    </row>
    <row r="100" spans="1:6" hidden="1" x14ac:dyDescent="0.25">
      <c r="A100" t="s">
        <v>6</v>
      </c>
      <c r="B100" t="s">
        <v>58</v>
      </c>
      <c r="C100" t="s">
        <v>107</v>
      </c>
      <c r="D100">
        <v>700</v>
      </c>
      <c r="E100" t="s">
        <v>632</v>
      </c>
      <c r="F100" t="s">
        <v>615</v>
      </c>
    </row>
    <row r="101" spans="1:6" hidden="1" x14ac:dyDescent="0.25">
      <c r="A101" t="s">
        <v>6</v>
      </c>
      <c r="B101" t="s">
        <v>58</v>
      </c>
      <c r="C101" t="s">
        <v>108</v>
      </c>
      <c r="D101">
        <v>800</v>
      </c>
      <c r="E101" t="s">
        <v>678</v>
      </c>
      <c r="F101" t="s">
        <v>615</v>
      </c>
    </row>
    <row r="102" spans="1:6" hidden="1" x14ac:dyDescent="0.25">
      <c r="A102" t="s">
        <v>6</v>
      </c>
      <c r="B102" t="s">
        <v>109</v>
      </c>
      <c r="C102" t="s">
        <v>110</v>
      </c>
      <c r="D102">
        <v>1000</v>
      </c>
      <c r="E102" s="23">
        <v>3.02666666666666E+16</v>
      </c>
      <c r="F102" t="s">
        <v>615</v>
      </c>
    </row>
    <row r="103" spans="1:6" hidden="1" x14ac:dyDescent="0.25">
      <c r="A103" t="s">
        <v>6</v>
      </c>
      <c r="B103" t="s">
        <v>109</v>
      </c>
      <c r="C103" t="s">
        <v>111</v>
      </c>
      <c r="D103">
        <v>300</v>
      </c>
      <c r="E103" t="s">
        <v>679</v>
      </c>
      <c r="F103" t="s">
        <v>615</v>
      </c>
    </row>
    <row r="104" spans="1:6" hidden="1" x14ac:dyDescent="0.25">
      <c r="A104" t="s">
        <v>6</v>
      </c>
      <c r="B104" t="s">
        <v>109</v>
      </c>
      <c r="C104" t="s">
        <v>112</v>
      </c>
      <c r="D104">
        <v>500</v>
      </c>
      <c r="E104" t="s">
        <v>680</v>
      </c>
      <c r="F104" t="s">
        <v>615</v>
      </c>
    </row>
    <row r="105" spans="1:6" hidden="1" x14ac:dyDescent="0.25">
      <c r="A105" t="s">
        <v>6</v>
      </c>
      <c r="B105" t="s">
        <v>109</v>
      </c>
      <c r="C105" t="s">
        <v>113</v>
      </c>
      <c r="D105">
        <v>700</v>
      </c>
      <c r="E105" t="s">
        <v>681</v>
      </c>
      <c r="F105" t="s">
        <v>615</v>
      </c>
    </row>
    <row r="106" spans="1:6" hidden="1" x14ac:dyDescent="0.25">
      <c r="A106" t="s">
        <v>6</v>
      </c>
      <c r="B106" t="s">
        <v>109</v>
      </c>
      <c r="C106" t="s">
        <v>114</v>
      </c>
      <c r="D106">
        <v>800</v>
      </c>
      <c r="E106" s="23">
        <v>2.68320833333333E+16</v>
      </c>
      <c r="F106" t="s">
        <v>615</v>
      </c>
    </row>
    <row r="107" spans="1:6" hidden="1" x14ac:dyDescent="0.25">
      <c r="A107" t="s">
        <v>6</v>
      </c>
      <c r="B107" t="s">
        <v>109</v>
      </c>
      <c r="C107" t="s">
        <v>115</v>
      </c>
      <c r="D107">
        <v>1000</v>
      </c>
      <c r="E107" s="23">
        <v>28786875</v>
      </c>
      <c r="F107" t="s">
        <v>615</v>
      </c>
    </row>
    <row r="108" spans="1:6" hidden="1" x14ac:dyDescent="0.25">
      <c r="A108" t="s">
        <v>6</v>
      </c>
      <c r="B108" t="s">
        <v>109</v>
      </c>
      <c r="C108" t="s">
        <v>116</v>
      </c>
      <c r="D108">
        <v>300</v>
      </c>
      <c r="E108" s="23">
        <v>1515375</v>
      </c>
      <c r="F108" t="s">
        <v>615</v>
      </c>
    </row>
    <row r="109" spans="1:6" hidden="1" x14ac:dyDescent="0.25">
      <c r="A109" t="s">
        <v>6</v>
      </c>
      <c r="B109" t="s">
        <v>109</v>
      </c>
      <c r="C109" t="s">
        <v>117</v>
      </c>
      <c r="D109">
        <v>500</v>
      </c>
      <c r="E109" t="s">
        <v>682</v>
      </c>
      <c r="F109" t="s">
        <v>615</v>
      </c>
    </row>
    <row r="110" spans="1:6" hidden="1" x14ac:dyDescent="0.25">
      <c r="A110" t="s">
        <v>6</v>
      </c>
      <c r="B110" t="s">
        <v>109</v>
      </c>
      <c r="C110" t="s">
        <v>118</v>
      </c>
      <c r="D110">
        <v>700</v>
      </c>
      <c r="E110" s="23">
        <v>2603666666666660</v>
      </c>
      <c r="F110" t="s">
        <v>615</v>
      </c>
    </row>
    <row r="111" spans="1:6" hidden="1" x14ac:dyDescent="0.25">
      <c r="A111" t="s">
        <v>6</v>
      </c>
      <c r="B111" t="s">
        <v>109</v>
      </c>
      <c r="C111" t="s">
        <v>119</v>
      </c>
      <c r="D111">
        <v>800</v>
      </c>
      <c r="E111" s="23">
        <v>2.63255555555555E+16</v>
      </c>
      <c r="F111" t="s">
        <v>615</v>
      </c>
    </row>
    <row r="112" spans="1:6" hidden="1" x14ac:dyDescent="0.25">
      <c r="A112" t="s">
        <v>6</v>
      </c>
      <c r="B112" t="s">
        <v>109</v>
      </c>
      <c r="C112" t="s">
        <v>120</v>
      </c>
      <c r="D112">
        <v>1000</v>
      </c>
      <c r="E112" s="23">
        <v>2778136363636360</v>
      </c>
      <c r="F112" t="s">
        <v>615</v>
      </c>
    </row>
    <row r="113" spans="1:6" hidden="1" x14ac:dyDescent="0.25">
      <c r="A113" t="s">
        <v>6</v>
      </c>
      <c r="B113" t="s">
        <v>109</v>
      </c>
      <c r="C113" t="s">
        <v>121</v>
      </c>
      <c r="D113">
        <v>300</v>
      </c>
      <c r="E113" t="s">
        <v>683</v>
      </c>
      <c r="F113" t="s">
        <v>615</v>
      </c>
    </row>
    <row r="114" spans="1:6" hidden="1" x14ac:dyDescent="0.25">
      <c r="A114" t="s">
        <v>6</v>
      </c>
      <c r="B114" t="s">
        <v>109</v>
      </c>
      <c r="C114" t="s">
        <v>122</v>
      </c>
      <c r="D114">
        <v>500</v>
      </c>
      <c r="E114" s="23">
        <v>2.20911111111111E+16</v>
      </c>
      <c r="F114" t="s">
        <v>615</v>
      </c>
    </row>
    <row r="115" spans="1:6" hidden="1" x14ac:dyDescent="0.25">
      <c r="A115" t="s">
        <v>6</v>
      </c>
      <c r="B115" t="s">
        <v>109</v>
      </c>
      <c r="C115" t="s">
        <v>123</v>
      </c>
      <c r="D115">
        <v>700</v>
      </c>
      <c r="E115" s="23">
        <v>2.5124E+16</v>
      </c>
      <c r="F115" t="s">
        <v>615</v>
      </c>
    </row>
    <row r="116" spans="1:6" hidden="1" x14ac:dyDescent="0.25">
      <c r="A116" t="s">
        <v>6</v>
      </c>
      <c r="B116" t="s">
        <v>109</v>
      </c>
      <c r="C116" t="s">
        <v>124</v>
      </c>
      <c r="D116">
        <v>800</v>
      </c>
      <c r="E116" s="23">
        <v>2859875</v>
      </c>
      <c r="F116" t="s">
        <v>615</v>
      </c>
    </row>
    <row r="117" spans="1:6" hidden="1" x14ac:dyDescent="0.25">
      <c r="A117" t="s">
        <v>6</v>
      </c>
      <c r="B117" t="s">
        <v>109</v>
      </c>
      <c r="C117" t="s">
        <v>125</v>
      </c>
      <c r="D117">
        <v>1000</v>
      </c>
      <c r="E117" s="23">
        <v>2.81593333333333E+16</v>
      </c>
      <c r="F117" t="s">
        <v>615</v>
      </c>
    </row>
    <row r="118" spans="1:6" hidden="1" x14ac:dyDescent="0.25">
      <c r="A118" t="s">
        <v>6</v>
      </c>
      <c r="B118" t="s">
        <v>109</v>
      </c>
      <c r="C118" t="s">
        <v>126</v>
      </c>
      <c r="D118">
        <v>300</v>
      </c>
      <c r="E118" s="23">
        <v>1409388888888880</v>
      </c>
      <c r="F118" t="s">
        <v>615</v>
      </c>
    </row>
    <row r="119" spans="1:6" hidden="1" x14ac:dyDescent="0.25">
      <c r="A119" t="s">
        <v>6</v>
      </c>
      <c r="B119" t="s">
        <v>109</v>
      </c>
      <c r="C119" t="s">
        <v>127</v>
      </c>
      <c r="D119">
        <v>500</v>
      </c>
      <c r="E119" s="23">
        <v>2.24518181818181E+16</v>
      </c>
      <c r="F119" t="s">
        <v>615</v>
      </c>
    </row>
    <row r="120" spans="1:6" hidden="1" x14ac:dyDescent="0.25">
      <c r="A120" t="s">
        <v>6</v>
      </c>
      <c r="B120" t="s">
        <v>109</v>
      </c>
      <c r="C120" t="s">
        <v>128</v>
      </c>
      <c r="D120">
        <v>700</v>
      </c>
      <c r="E120" t="s">
        <v>684</v>
      </c>
      <c r="F120" t="s">
        <v>615</v>
      </c>
    </row>
    <row r="121" spans="1:6" hidden="1" x14ac:dyDescent="0.25">
      <c r="A121" t="s">
        <v>6</v>
      </c>
      <c r="B121" t="s">
        <v>109</v>
      </c>
      <c r="C121" t="s">
        <v>129</v>
      </c>
      <c r="D121">
        <v>800</v>
      </c>
      <c r="E121" s="23">
        <v>2862769230769230</v>
      </c>
      <c r="F121" t="s">
        <v>615</v>
      </c>
    </row>
    <row r="122" spans="1:6" hidden="1" x14ac:dyDescent="0.25">
      <c r="A122" t="s">
        <v>6</v>
      </c>
      <c r="B122" t="s">
        <v>109</v>
      </c>
      <c r="C122" t="s">
        <v>130</v>
      </c>
      <c r="D122">
        <v>1000</v>
      </c>
      <c r="E122" s="23">
        <v>3.0716E+16</v>
      </c>
      <c r="F122" t="s">
        <v>615</v>
      </c>
    </row>
    <row r="123" spans="1:6" hidden="1" x14ac:dyDescent="0.25">
      <c r="A123" t="s">
        <v>6</v>
      </c>
      <c r="B123" t="s">
        <v>109</v>
      </c>
      <c r="C123" t="s">
        <v>131</v>
      </c>
      <c r="D123">
        <v>300</v>
      </c>
      <c r="E123" t="s">
        <v>685</v>
      </c>
      <c r="F123" t="s">
        <v>615</v>
      </c>
    </row>
    <row r="124" spans="1:6" hidden="1" x14ac:dyDescent="0.25">
      <c r="A124" t="s">
        <v>6</v>
      </c>
      <c r="B124" t="s">
        <v>109</v>
      </c>
      <c r="C124" t="s">
        <v>132</v>
      </c>
      <c r="D124">
        <v>500</v>
      </c>
      <c r="E124" t="s">
        <v>686</v>
      </c>
      <c r="F124" t="s">
        <v>615</v>
      </c>
    </row>
    <row r="125" spans="1:6" hidden="1" x14ac:dyDescent="0.25">
      <c r="A125" t="s">
        <v>6</v>
      </c>
      <c r="B125" t="s">
        <v>109</v>
      </c>
      <c r="C125" t="s">
        <v>133</v>
      </c>
      <c r="D125">
        <v>700</v>
      </c>
      <c r="E125" s="23">
        <v>2646714285714280</v>
      </c>
      <c r="F125" t="s">
        <v>615</v>
      </c>
    </row>
    <row r="126" spans="1:6" hidden="1" x14ac:dyDescent="0.25">
      <c r="A126" t="s">
        <v>6</v>
      </c>
      <c r="B126" t="s">
        <v>109</v>
      </c>
      <c r="C126" t="s">
        <v>134</v>
      </c>
      <c r="D126">
        <v>800</v>
      </c>
      <c r="E126" s="23">
        <v>2826714285714280</v>
      </c>
      <c r="F126" t="s">
        <v>615</v>
      </c>
    </row>
    <row r="127" spans="1:6" hidden="1" x14ac:dyDescent="0.25">
      <c r="A127" t="s">
        <v>6</v>
      </c>
      <c r="B127" t="s">
        <v>109</v>
      </c>
      <c r="C127" t="s">
        <v>135</v>
      </c>
      <c r="D127">
        <v>1000</v>
      </c>
      <c r="E127" s="23">
        <v>2872176470588230</v>
      </c>
      <c r="F127" t="s">
        <v>615</v>
      </c>
    </row>
    <row r="128" spans="1:6" hidden="1" x14ac:dyDescent="0.25">
      <c r="A128" t="s">
        <v>6</v>
      </c>
      <c r="B128" t="s">
        <v>109</v>
      </c>
      <c r="C128" t="s">
        <v>136</v>
      </c>
      <c r="D128">
        <v>300</v>
      </c>
      <c r="E128" t="s">
        <v>687</v>
      </c>
      <c r="F128" t="s">
        <v>615</v>
      </c>
    </row>
    <row r="129" spans="1:6" hidden="1" x14ac:dyDescent="0.25">
      <c r="A129" t="s">
        <v>6</v>
      </c>
      <c r="B129" t="s">
        <v>109</v>
      </c>
      <c r="C129" t="s">
        <v>137</v>
      </c>
      <c r="D129">
        <v>500</v>
      </c>
      <c r="E129" s="23">
        <v>2.30986666666666E+16</v>
      </c>
      <c r="F129" t="s">
        <v>615</v>
      </c>
    </row>
    <row r="130" spans="1:6" hidden="1" x14ac:dyDescent="0.25">
      <c r="A130" t="s">
        <v>6</v>
      </c>
      <c r="B130" t="s">
        <v>109</v>
      </c>
      <c r="C130" t="s">
        <v>138</v>
      </c>
      <c r="D130">
        <v>700</v>
      </c>
      <c r="E130" s="23">
        <v>2.68042857142857E+16</v>
      </c>
      <c r="F130" t="s">
        <v>615</v>
      </c>
    </row>
    <row r="131" spans="1:6" hidden="1" x14ac:dyDescent="0.25">
      <c r="A131" t="s">
        <v>6</v>
      </c>
      <c r="B131" t="s">
        <v>109</v>
      </c>
      <c r="C131" t="s">
        <v>139</v>
      </c>
      <c r="D131">
        <v>800</v>
      </c>
      <c r="E131" s="23">
        <v>2776333333333330</v>
      </c>
      <c r="F131" t="s">
        <v>615</v>
      </c>
    </row>
    <row r="132" spans="1:6" hidden="1" x14ac:dyDescent="0.25">
      <c r="A132" t="s">
        <v>6</v>
      </c>
      <c r="B132" t="s">
        <v>109</v>
      </c>
      <c r="C132" t="s">
        <v>140</v>
      </c>
      <c r="D132">
        <v>1000</v>
      </c>
      <c r="E132" t="s">
        <v>688</v>
      </c>
      <c r="F132" t="s">
        <v>615</v>
      </c>
    </row>
    <row r="133" spans="1:6" hidden="1" x14ac:dyDescent="0.25">
      <c r="A133" t="s">
        <v>6</v>
      </c>
      <c r="B133" t="s">
        <v>109</v>
      </c>
      <c r="C133" t="s">
        <v>141</v>
      </c>
      <c r="D133">
        <v>300</v>
      </c>
      <c r="E133" t="s">
        <v>689</v>
      </c>
      <c r="F133" t="s">
        <v>615</v>
      </c>
    </row>
    <row r="134" spans="1:6" hidden="1" x14ac:dyDescent="0.25">
      <c r="A134" t="s">
        <v>6</v>
      </c>
      <c r="B134" t="s">
        <v>109</v>
      </c>
      <c r="C134" t="s">
        <v>142</v>
      </c>
      <c r="D134">
        <v>500</v>
      </c>
      <c r="E134" t="s">
        <v>690</v>
      </c>
      <c r="F134" t="s">
        <v>615</v>
      </c>
    </row>
    <row r="135" spans="1:6" hidden="1" x14ac:dyDescent="0.25">
      <c r="A135" t="s">
        <v>6</v>
      </c>
      <c r="B135" t="s">
        <v>109</v>
      </c>
      <c r="C135" t="s">
        <v>143</v>
      </c>
      <c r="D135">
        <v>700</v>
      </c>
      <c r="E135" s="23">
        <v>2625333333333330</v>
      </c>
      <c r="F135" t="s">
        <v>615</v>
      </c>
    </row>
    <row r="136" spans="1:6" hidden="1" x14ac:dyDescent="0.25">
      <c r="A136" t="s">
        <v>6</v>
      </c>
      <c r="B136" t="s">
        <v>109</v>
      </c>
      <c r="C136" t="s">
        <v>144</v>
      </c>
      <c r="D136">
        <v>800</v>
      </c>
      <c r="E136" t="s">
        <v>691</v>
      </c>
      <c r="F136" t="s">
        <v>615</v>
      </c>
    </row>
    <row r="137" spans="1:6" hidden="1" x14ac:dyDescent="0.25">
      <c r="A137" t="s">
        <v>6</v>
      </c>
      <c r="B137" t="s">
        <v>109</v>
      </c>
      <c r="C137" t="s">
        <v>145</v>
      </c>
      <c r="D137">
        <v>1000</v>
      </c>
      <c r="E137" s="23">
        <v>2.81426666666666E+16</v>
      </c>
      <c r="F137" t="s">
        <v>615</v>
      </c>
    </row>
    <row r="138" spans="1:6" hidden="1" x14ac:dyDescent="0.25">
      <c r="A138" t="s">
        <v>6</v>
      </c>
      <c r="B138" t="s">
        <v>109</v>
      </c>
      <c r="C138" t="s">
        <v>146</v>
      </c>
      <c r="D138">
        <v>300</v>
      </c>
      <c r="E138" s="23">
        <v>1.50799999999999E+16</v>
      </c>
      <c r="F138" t="s">
        <v>615</v>
      </c>
    </row>
    <row r="139" spans="1:6" hidden="1" x14ac:dyDescent="0.25">
      <c r="A139" t="s">
        <v>6</v>
      </c>
      <c r="B139" t="s">
        <v>109</v>
      </c>
      <c r="C139" t="s">
        <v>147</v>
      </c>
      <c r="D139">
        <v>500</v>
      </c>
      <c r="E139" s="23">
        <v>21729375</v>
      </c>
      <c r="F139" t="s">
        <v>615</v>
      </c>
    </row>
    <row r="140" spans="1:6" hidden="1" x14ac:dyDescent="0.25">
      <c r="A140" t="s">
        <v>6</v>
      </c>
      <c r="B140" t="s">
        <v>109</v>
      </c>
      <c r="C140" t="s">
        <v>148</v>
      </c>
      <c r="D140">
        <v>700</v>
      </c>
      <c r="E140" s="23">
        <v>2.65094117647058E+16</v>
      </c>
      <c r="F140" t="s">
        <v>615</v>
      </c>
    </row>
    <row r="141" spans="1:6" hidden="1" x14ac:dyDescent="0.25">
      <c r="A141" t="s">
        <v>6</v>
      </c>
      <c r="B141" t="s">
        <v>109</v>
      </c>
      <c r="C141" t="s">
        <v>149</v>
      </c>
      <c r="D141">
        <v>800</v>
      </c>
      <c r="E141" s="23">
        <v>2802333333333330</v>
      </c>
      <c r="F141" t="s">
        <v>615</v>
      </c>
    </row>
    <row r="142" spans="1:6" hidden="1" x14ac:dyDescent="0.25">
      <c r="A142" t="s">
        <v>6</v>
      </c>
      <c r="B142" t="s">
        <v>109</v>
      </c>
      <c r="C142" t="s">
        <v>150</v>
      </c>
      <c r="D142">
        <v>1000</v>
      </c>
      <c r="E142" s="23">
        <v>2808076923076920</v>
      </c>
      <c r="F142" t="s">
        <v>615</v>
      </c>
    </row>
    <row r="143" spans="1:6" hidden="1" x14ac:dyDescent="0.25">
      <c r="A143" t="s">
        <v>6</v>
      </c>
      <c r="B143" t="s">
        <v>109</v>
      </c>
      <c r="C143" t="s">
        <v>151</v>
      </c>
      <c r="D143">
        <v>300</v>
      </c>
      <c r="E143" t="s">
        <v>692</v>
      </c>
      <c r="F143" t="s">
        <v>615</v>
      </c>
    </row>
    <row r="144" spans="1:6" hidden="1" x14ac:dyDescent="0.25">
      <c r="A144" t="s">
        <v>6</v>
      </c>
      <c r="B144" t="s">
        <v>109</v>
      </c>
      <c r="C144" t="s">
        <v>152</v>
      </c>
      <c r="D144">
        <v>500</v>
      </c>
      <c r="E144" s="23">
        <v>2188125</v>
      </c>
      <c r="F144" t="s">
        <v>615</v>
      </c>
    </row>
    <row r="145" spans="1:6" hidden="1" x14ac:dyDescent="0.25">
      <c r="A145" t="s">
        <v>6</v>
      </c>
      <c r="B145" t="s">
        <v>109</v>
      </c>
      <c r="C145" t="s">
        <v>153</v>
      </c>
      <c r="D145">
        <v>700</v>
      </c>
      <c r="E145" t="s">
        <v>693</v>
      </c>
      <c r="F145" t="s">
        <v>615</v>
      </c>
    </row>
    <row r="146" spans="1:6" hidden="1" x14ac:dyDescent="0.25">
      <c r="A146" t="s">
        <v>6</v>
      </c>
      <c r="B146" t="s">
        <v>109</v>
      </c>
      <c r="C146" t="s">
        <v>154</v>
      </c>
      <c r="D146">
        <v>800</v>
      </c>
      <c r="E146" t="s">
        <v>694</v>
      </c>
      <c r="F146" t="s">
        <v>615</v>
      </c>
    </row>
    <row r="147" spans="1:6" hidden="1" x14ac:dyDescent="0.25">
      <c r="A147" t="s">
        <v>6</v>
      </c>
      <c r="B147" t="s">
        <v>109</v>
      </c>
      <c r="C147" t="s">
        <v>155</v>
      </c>
      <c r="D147">
        <v>1000</v>
      </c>
      <c r="E147" s="23">
        <v>2.80472E+16</v>
      </c>
      <c r="F147" t="s">
        <v>615</v>
      </c>
    </row>
    <row r="148" spans="1:6" hidden="1" x14ac:dyDescent="0.25">
      <c r="A148" t="s">
        <v>6</v>
      </c>
      <c r="B148" t="s">
        <v>109</v>
      </c>
      <c r="C148" t="s">
        <v>156</v>
      </c>
      <c r="D148">
        <v>300</v>
      </c>
      <c r="E148" t="s">
        <v>695</v>
      </c>
      <c r="F148" t="s">
        <v>615</v>
      </c>
    </row>
    <row r="149" spans="1:6" hidden="1" x14ac:dyDescent="0.25">
      <c r="A149" t="s">
        <v>6</v>
      </c>
      <c r="B149" t="s">
        <v>109</v>
      </c>
      <c r="C149" t="s">
        <v>157</v>
      </c>
      <c r="D149">
        <v>500</v>
      </c>
      <c r="E149" t="s">
        <v>696</v>
      </c>
      <c r="F149" t="s">
        <v>615</v>
      </c>
    </row>
    <row r="150" spans="1:6" hidden="1" x14ac:dyDescent="0.25">
      <c r="A150" t="s">
        <v>6</v>
      </c>
      <c r="B150" t="s">
        <v>109</v>
      </c>
      <c r="C150" t="s">
        <v>158</v>
      </c>
      <c r="D150">
        <v>700</v>
      </c>
      <c r="E150" s="23">
        <v>2809090909090900</v>
      </c>
      <c r="F150" t="s">
        <v>615</v>
      </c>
    </row>
    <row r="151" spans="1:6" hidden="1" x14ac:dyDescent="0.25">
      <c r="A151" t="s">
        <v>6</v>
      </c>
      <c r="B151" t="s">
        <v>109</v>
      </c>
      <c r="C151" t="s">
        <v>159</v>
      </c>
      <c r="D151">
        <v>800</v>
      </c>
      <c r="E151" t="s">
        <v>697</v>
      </c>
      <c r="F151" t="s">
        <v>615</v>
      </c>
    </row>
    <row r="152" spans="1:6" hidden="1" x14ac:dyDescent="0.25">
      <c r="A152" t="s">
        <v>160</v>
      </c>
      <c r="B152" t="s">
        <v>7</v>
      </c>
      <c r="C152" t="s">
        <v>161</v>
      </c>
      <c r="D152">
        <v>1000</v>
      </c>
      <c r="E152" t="s">
        <v>698</v>
      </c>
      <c r="F152" t="s">
        <v>615</v>
      </c>
    </row>
    <row r="153" spans="1:6" hidden="1" x14ac:dyDescent="0.25">
      <c r="A153" t="s">
        <v>160</v>
      </c>
      <c r="B153" t="s">
        <v>7</v>
      </c>
      <c r="C153" t="s">
        <v>162</v>
      </c>
      <c r="D153">
        <v>300</v>
      </c>
      <c r="E153" t="s">
        <v>699</v>
      </c>
      <c r="F153" t="s">
        <v>615</v>
      </c>
    </row>
    <row r="154" spans="1:6" hidden="1" x14ac:dyDescent="0.25">
      <c r="A154" t="s">
        <v>160</v>
      </c>
      <c r="B154" t="s">
        <v>7</v>
      </c>
      <c r="C154" t="s">
        <v>163</v>
      </c>
      <c r="D154">
        <v>500</v>
      </c>
      <c r="E154" t="s">
        <v>700</v>
      </c>
      <c r="F154" t="s">
        <v>615</v>
      </c>
    </row>
    <row r="155" spans="1:6" hidden="1" x14ac:dyDescent="0.25">
      <c r="A155" t="s">
        <v>160</v>
      </c>
      <c r="B155" t="s">
        <v>7</v>
      </c>
      <c r="C155" t="s">
        <v>164</v>
      </c>
      <c r="D155">
        <v>700</v>
      </c>
      <c r="E155" t="s">
        <v>701</v>
      </c>
      <c r="F155" t="s">
        <v>615</v>
      </c>
    </row>
    <row r="156" spans="1:6" hidden="1" x14ac:dyDescent="0.25">
      <c r="A156" t="s">
        <v>160</v>
      </c>
      <c r="B156" t="s">
        <v>7</v>
      </c>
      <c r="C156" t="s">
        <v>165</v>
      </c>
      <c r="D156">
        <v>800</v>
      </c>
      <c r="E156" t="s">
        <v>702</v>
      </c>
      <c r="F156" t="s">
        <v>615</v>
      </c>
    </row>
    <row r="157" spans="1:6" hidden="1" x14ac:dyDescent="0.25">
      <c r="A157" t="s">
        <v>160</v>
      </c>
      <c r="B157" t="s">
        <v>7</v>
      </c>
      <c r="C157" t="s">
        <v>166</v>
      </c>
      <c r="D157">
        <v>1000</v>
      </c>
      <c r="E157" s="23">
        <v>2.1076923076923E+16</v>
      </c>
      <c r="F157" t="s">
        <v>615</v>
      </c>
    </row>
    <row r="158" spans="1:6" hidden="1" x14ac:dyDescent="0.25">
      <c r="A158" t="s">
        <v>160</v>
      </c>
      <c r="B158" t="s">
        <v>7</v>
      </c>
      <c r="C158" t="s">
        <v>167</v>
      </c>
      <c r="D158">
        <v>300</v>
      </c>
      <c r="E158" t="s">
        <v>703</v>
      </c>
      <c r="F158" t="s">
        <v>615</v>
      </c>
    </row>
    <row r="159" spans="1:6" hidden="1" x14ac:dyDescent="0.25">
      <c r="A159" t="s">
        <v>160</v>
      </c>
      <c r="B159" t="s">
        <v>7</v>
      </c>
      <c r="C159" t="s">
        <v>168</v>
      </c>
      <c r="D159">
        <v>500</v>
      </c>
      <c r="E159" t="s">
        <v>704</v>
      </c>
      <c r="F159" t="s">
        <v>615</v>
      </c>
    </row>
    <row r="160" spans="1:6" hidden="1" x14ac:dyDescent="0.25">
      <c r="A160" t="s">
        <v>160</v>
      </c>
      <c r="B160" t="s">
        <v>7</v>
      </c>
      <c r="C160" t="s">
        <v>169</v>
      </c>
      <c r="D160">
        <v>700</v>
      </c>
      <c r="E160" t="s">
        <v>705</v>
      </c>
      <c r="F160" t="s">
        <v>615</v>
      </c>
    </row>
    <row r="161" spans="1:6" hidden="1" x14ac:dyDescent="0.25">
      <c r="A161" t="s">
        <v>160</v>
      </c>
      <c r="B161" t="s">
        <v>7</v>
      </c>
      <c r="C161" t="s">
        <v>170</v>
      </c>
      <c r="D161">
        <v>800</v>
      </c>
      <c r="E161" t="s">
        <v>702</v>
      </c>
      <c r="F161" t="s">
        <v>615</v>
      </c>
    </row>
    <row r="162" spans="1:6" hidden="1" x14ac:dyDescent="0.25">
      <c r="A162" t="s">
        <v>160</v>
      </c>
      <c r="B162" t="s">
        <v>7</v>
      </c>
      <c r="C162" t="s">
        <v>171</v>
      </c>
      <c r="D162">
        <v>1000</v>
      </c>
      <c r="E162" s="23">
        <v>2126434782608690</v>
      </c>
      <c r="F162" t="s">
        <v>615</v>
      </c>
    </row>
    <row r="163" spans="1:6" hidden="1" x14ac:dyDescent="0.25">
      <c r="A163" t="s">
        <v>160</v>
      </c>
      <c r="B163" t="s">
        <v>7</v>
      </c>
      <c r="C163" t="s">
        <v>172</v>
      </c>
      <c r="D163">
        <v>300</v>
      </c>
      <c r="E163" s="23">
        <v>9669999999999990</v>
      </c>
      <c r="F163" t="s">
        <v>615</v>
      </c>
    </row>
    <row r="164" spans="1:6" hidden="1" x14ac:dyDescent="0.25">
      <c r="A164" t="s">
        <v>160</v>
      </c>
      <c r="B164" t="s">
        <v>7</v>
      </c>
      <c r="C164" t="s">
        <v>173</v>
      </c>
      <c r="D164">
        <v>500</v>
      </c>
      <c r="E164" t="s">
        <v>706</v>
      </c>
      <c r="F164" t="s">
        <v>615</v>
      </c>
    </row>
    <row r="165" spans="1:6" hidden="1" x14ac:dyDescent="0.25">
      <c r="A165" t="s">
        <v>160</v>
      </c>
      <c r="B165" t="s">
        <v>7</v>
      </c>
      <c r="C165" t="s">
        <v>174</v>
      </c>
      <c r="D165">
        <v>700</v>
      </c>
      <c r="E165" t="s">
        <v>668</v>
      </c>
      <c r="F165" t="s">
        <v>615</v>
      </c>
    </row>
    <row r="166" spans="1:6" hidden="1" x14ac:dyDescent="0.25">
      <c r="A166" t="s">
        <v>160</v>
      </c>
      <c r="B166" t="s">
        <v>7</v>
      </c>
      <c r="C166" t="s">
        <v>175</v>
      </c>
      <c r="D166">
        <v>800</v>
      </c>
      <c r="E166" t="s">
        <v>707</v>
      </c>
      <c r="F166" t="s">
        <v>615</v>
      </c>
    </row>
    <row r="167" spans="1:6" hidden="1" x14ac:dyDescent="0.25">
      <c r="A167" t="s">
        <v>160</v>
      </c>
      <c r="B167" t="s">
        <v>7</v>
      </c>
      <c r="C167" t="s">
        <v>176</v>
      </c>
      <c r="D167">
        <v>1000</v>
      </c>
      <c r="E167" t="s">
        <v>708</v>
      </c>
      <c r="F167" t="s">
        <v>615</v>
      </c>
    </row>
    <row r="168" spans="1:6" hidden="1" x14ac:dyDescent="0.25">
      <c r="A168" t="s">
        <v>160</v>
      </c>
      <c r="B168" t="s">
        <v>7</v>
      </c>
      <c r="C168" t="s">
        <v>177</v>
      </c>
      <c r="D168">
        <v>300</v>
      </c>
      <c r="E168" t="s">
        <v>709</v>
      </c>
      <c r="F168" t="s">
        <v>615</v>
      </c>
    </row>
    <row r="169" spans="1:6" hidden="1" x14ac:dyDescent="0.25">
      <c r="A169" t="s">
        <v>160</v>
      </c>
      <c r="B169" t="s">
        <v>7</v>
      </c>
      <c r="C169" t="s">
        <v>178</v>
      </c>
      <c r="D169">
        <v>500</v>
      </c>
      <c r="E169" t="s">
        <v>710</v>
      </c>
      <c r="F169" t="s">
        <v>615</v>
      </c>
    </row>
    <row r="170" spans="1:6" hidden="1" x14ac:dyDescent="0.25">
      <c r="A170" t="s">
        <v>160</v>
      </c>
      <c r="B170" t="s">
        <v>7</v>
      </c>
      <c r="C170" t="s">
        <v>179</v>
      </c>
      <c r="D170">
        <v>700</v>
      </c>
      <c r="E170" s="23">
        <v>1.62499999999999E+16</v>
      </c>
      <c r="F170" t="s">
        <v>615</v>
      </c>
    </row>
    <row r="171" spans="1:6" hidden="1" x14ac:dyDescent="0.25">
      <c r="A171" t="s">
        <v>160</v>
      </c>
      <c r="B171" t="s">
        <v>7</v>
      </c>
      <c r="C171" t="s">
        <v>180</v>
      </c>
      <c r="D171">
        <v>800</v>
      </c>
      <c r="E171" t="s">
        <v>711</v>
      </c>
      <c r="F171" t="s">
        <v>615</v>
      </c>
    </row>
    <row r="172" spans="1:6" hidden="1" x14ac:dyDescent="0.25">
      <c r="A172" t="s">
        <v>160</v>
      </c>
      <c r="B172" t="s">
        <v>7</v>
      </c>
      <c r="C172" t="s">
        <v>181</v>
      </c>
      <c r="D172">
        <v>1000</v>
      </c>
      <c r="E172" s="23">
        <v>2.10629411764705E+16</v>
      </c>
      <c r="F172" t="s">
        <v>615</v>
      </c>
    </row>
    <row r="173" spans="1:6" hidden="1" x14ac:dyDescent="0.25">
      <c r="A173" t="s">
        <v>160</v>
      </c>
      <c r="B173" t="s">
        <v>7</v>
      </c>
      <c r="C173" t="s">
        <v>182</v>
      </c>
      <c r="D173">
        <v>300</v>
      </c>
      <c r="E173" t="s">
        <v>712</v>
      </c>
      <c r="F173" t="s">
        <v>615</v>
      </c>
    </row>
    <row r="174" spans="1:6" hidden="1" x14ac:dyDescent="0.25">
      <c r="A174" t="s">
        <v>160</v>
      </c>
      <c r="B174" t="s">
        <v>7</v>
      </c>
      <c r="C174" t="s">
        <v>183</v>
      </c>
      <c r="D174">
        <v>500</v>
      </c>
      <c r="E174" t="s">
        <v>713</v>
      </c>
      <c r="F174" t="s">
        <v>615</v>
      </c>
    </row>
    <row r="175" spans="1:6" hidden="1" x14ac:dyDescent="0.25">
      <c r="A175" t="s">
        <v>160</v>
      </c>
      <c r="B175" t="s">
        <v>7</v>
      </c>
      <c r="C175" t="s">
        <v>184</v>
      </c>
      <c r="D175">
        <v>700</v>
      </c>
      <c r="E175" s="23">
        <v>1.595E+16</v>
      </c>
      <c r="F175" t="s">
        <v>615</v>
      </c>
    </row>
    <row r="176" spans="1:6" hidden="1" x14ac:dyDescent="0.25">
      <c r="A176" t="s">
        <v>160</v>
      </c>
      <c r="B176" t="s">
        <v>7</v>
      </c>
      <c r="C176" t="s">
        <v>185</v>
      </c>
      <c r="D176">
        <v>800</v>
      </c>
      <c r="E176" t="s">
        <v>714</v>
      </c>
      <c r="F176" t="s">
        <v>615</v>
      </c>
    </row>
    <row r="177" spans="1:6" hidden="1" x14ac:dyDescent="0.25">
      <c r="A177" t="s">
        <v>160</v>
      </c>
      <c r="B177" t="s">
        <v>7</v>
      </c>
      <c r="C177" t="s">
        <v>186</v>
      </c>
      <c r="D177">
        <v>1000</v>
      </c>
      <c r="E177" s="23">
        <v>2078125</v>
      </c>
      <c r="F177" t="s">
        <v>615</v>
      </c>
    </row>
    <row r="178" spans="1:6" hidden="1" x14ac:dyDescent="0.25">
      <c r="A178" t="s">
        <v>160</v>
      </c>
      <c r="B178" t="s">
        <v>7</v>
      </c>
      <c r="C178" t="s">
        <v>187</v>
      </c>
      <c r="D178">
        <v>300</v>
      </c>
      <c r="E178" s="23">
        <v>1.04466666666666E+16</v>
      </c>
      <c r="F178" t="s">
        <v>615</v>
      </c>
    </row>
    <row r="179" spans="1:6" hidden="1" x14ac:dyDescent="0.25">
      <c r="A179" t="s">
        <v>160</v>
      </c>
      <c r="B179" t="s">
        <v>7</v>
      </c>
      <c r="C179" t="s">
        <v>188</v>
      </c>
      <c r="D179">
        <v>500</v>
      </c>
      <c r="E179" t="s">
        <v>715</v>
      </c>
      <c r="F179" t="s">
        <v>615</v>
      </c>
    </row>
    <row r="180" spans="1:6" hidden="1" x14ac:dyDescent="0.25">
      <c r="A180" t="s">
        <v>160</v>
      </c>
      <c r="B180" t="s">
        <v>7</v>
      </c>
      <c r="C180" t="s">
        <v>189</v>
      </c>
      <c r="D180">
        <v>700</v>
      </c>
      <c r="E180" t="s">
        <v>716</v>
      </c>
      <c r="F180" t="s">
        <v>615</v>
      </c>
    </row>
    <row r="181" spans="1:6" hidden="1" x14ac:dyDescent="0.25">
      <c r="A181" t="s">
        <v>160</v>
      </c>
      <c r="B181" t="s">
        <v>7</v>
      </c>
      <c r="C181" t="s">
        <v>190</v>
      </c>
      <c r="D181">
        <v>800</v>
      </c>
      <c r="E181" t="s">
        <v>717</v>
      </c>
      <c r="F181" t="s">
        <v>615</v>
      </c>
    </row>
    <row r="182" spans="1:6" hidden="1" x14ac:dyDescent="0.25">
      <c r="A182" t="s">
        <v>160</v>
      </c>
      <c r="B182" t="s">
        <v>7</v>
      </c>
      <c r="C182" t="s">
        <v>191</v>
      </c>
      <c r="D182">
        <v>1000</v>
      </c>
      <c r="E182" s="23">
        <v>2.07083333333333E+16</v>
      </c>
      <c r="F182" t="s">
        <v>615</v>
      </c>
    </row>
    <row r="183" spans="1:6" hidden="1" x14ac:dyDescent="0.25">
      <c r="A183" t="s">
        <v>160</v>
      </c>
      <c r="B183" t="s">
        <v>7</v>
      </c>
      <c r="C183" t="s">
        <v>192</v>
      </c>
      <c r="D183">
        <v>300</v>
      </c>
      <c r="E183" t="s">
        <v>718</v>
      </c>
      <c r="F183" t="s">
        <v>615</v>
      </c>
    </row>
    <row r="184" spans="1:6" hidden="1" x14ac:dyDescent="0.25">
      <c r="A184" t="s">
        <v>160</v>
      </c>
      <c r="B184" t="s">
        <v>7</v>
      </c>
      <c r="C184" t="s">
        <v>193</v>
      </c>
      <c r="D184">
        <v>500</v>
      </c>
      <c r="E184" t="s">
        <v>719</v>
      </c>
      <c r="F184" t="s">
        <v>615</v>
      </c>
    </row>
    <row r="185" spans="1:6" hidden="1" x14ac:dyDescent="0.25">
      <c r="A185" t="s">
        <v>160</v>
      </c>
      <c r="B185" t="s">
        <v>7</v>
      </c>
      <c r="C185" t="s">
        <v>194</v>
      </c>
      <c r="D185">
        <v>700</v>
      </c>
      <c r="E185" t="s">
        <v>720</v>
      </c>
      <c r="F185" t="s">
        <v>615</v>
      </c>
    </row>
    <row r="186" spans="1:6" hidden="1" x14ac:dyDescent="0.25">
      <c r="A186" t="s">
        <v>160</v>
      </c>
      <c r="B186" t="s">
        <v>7</v>
      </c>
      <c r="C186" t="s">
        <v>195</v>
      </c>
      <c r="D186">
        <v>800</v>
      </c>
      <c r="E186" t="s">
        <v>721</v>
      </c>
      <c r="F186" t="s">
        <v>615</v>
      </c>
    </row>
    <row r="187" spans="1:6" hidden="1" x14ac:dyDescent="0.25">
      <c r="A187" t="s">
        <v>160</v>
      </c>
      <c r="B187" t="s">
        <v>7</v>
      </c>
      <c r="C187" t="s">
        <v>196</v>
      </c>
      <c r="D187">
        <v>1000</v>
      </c>
      <c r="E187" t="s">
        <v>722</v>
      </c>
      <c r="F187" t="s">
        <v>615</v>
      </c>
    </row>
    <row r="188" spans="1:6" hidden="1" x14ac:dyDescent="0.25">
      <c r="A188" t="s">
        <v>160</v>
      </c>
      <c r="B188" t="s">
        <v>7</v>
      </c>
      <c r="C188" t="s">
        <v>197</v>
      </c>
      <c r="D188">
        <v>300</v>
      </c>
      <c r="E188" t="s">
        <v>723</v>
      </c>
      <c r="F188" t="s">
        <v>615</v>
      </c>
    </row>
    <row r="189" spans="1:6" hidden="1" x14ac:dyDescent="0.25">
      <c r="A189" t="s">
        <v>160</v>
      </c>
      <c r="B189" t="s">
        <v>7</v>
      </c>
      <c r="C189" t="s">
        <v>198</v>
      </c>
      <c r="D189">
        <v>500</v>
      </c>
      <c r="E189" s="23">
        <v>1.316E+16</v>
      </c>
      <c r="F189" t="s">
        <v>615</v>
      </c>
    </row>
    <row r="190" spans="1:6" hidden="1" x14ac:dyDescent="0.25">
      <c r="A190" t="s">
        <v>160</v>
      </c>
      <c r="B190" t="s">
        <v>7</v>
      </c>
      <c r="C190" t="s">
        <v>199</v>
      </c>
      <c r="D190">
        <v>700</v>
      </c>
      <c r="E190" t="s">
        <v>724</v>
      </c>
      <c r="F190" t="s">
        <v>615</v>
      </c>
    </row>
    <row r="191" spans="1:6" hidden="1" x14ac:dyDescent="0.25">
      <c r="A191" t="s">
        <v>160</v>
      </c>
      <c r="B191" t="s">
        <v>7</v>
      </c>
      <c r="C191" t="s">
        <v>200</v>
      </c>
      <c r="D191">
        <v>800</v>
      </c>
      <c r="E191" t="s">
        <v>725</v>
      </c>
      <c r="F191" t="s">
        <v>615</v>
      </c>
    </row>
    <row r="192" spans="1:6" hidden="1" x14ac:dyDescent="0.25">
      <c r="A192" t="s">
        <v>160</v>
      </c>
      <c r="B192" t="s">
        <v>7</v>
      </c>
      <c r="C192" t="s">
        <v>201</v>
      </c>
      <c r="D192">
        <v>1000</v>
      </c>
      <c r="E192" t="s">
        <v>708</v>
      </c>
      <c r="F192" t="s">
        <v>615</v>
      </c>
    </row>
    <row r="193" spans="1:6" hidden="1" x14ac:dyDescent="0.25">
      <c r="A193" t="s">
        <v>160</v>
      </c>
      <c r="B193" t="s">
        <v>7</v>
      </c>
      <c r="C193" t="s">
        <v>202</v>
      </c>
      <c r="D193">
        <v>300</v>
      </c>
      <c r="E193" t="s">
        <v>726</v>
      </c>
      <c r="F193" t="s">
        <v>615</v>
      </c>
    </row>
    <row r="194" spans="1:6" hidden="1" x14ac:dyDescent="0.25">
      <c r="A194" t="s">
        <v>160</v>
      </c>
      <c r="B194" t="s">
        <v>7</v>
      </c>
      <c r="C194" t="s">
        <v>203</v>
      </c>
      <c r="D194">
        <v>500</v>
      </c>
      <c r="E194" t="s">
        <v>727</v>
      </c>
      <c r="F194" t="s">
        <v>615</v>
      </c>
    </row>
    <row r="195" spans="1:6" hidden="1" x14ac:dyDescent="0.25">
      <c r="A195" t="s">
        <v>160</v>
      </c>
      <c r="B195" t="s">
        <v>7</v>
      </c>
      <c r="C195" t="s">
        <v>204</v>
      </c>
      <c r="D195">
        <v>700</v>
      </c>
      <c r="E195" t="s">
        <v>728</v>
      </c>
      <c r="F195" t="s">
        <v>615</v>
      </c>
    </row>
    <row r="196" spans="1:6" hidden="1" x14ac:dyDescent="0.25">
      <c r="A196" t="s">
        <v>160</v>
      </c>
      <c r="B196" t="s">
        <v>7</v>
      </c>
      <c r="C196" t="s">
        <v>205</v>
      </c>
      <c r="D196">
        <v>800</v>
      </c>
      <c r="E196" t="s">
        <v>729</v>
      </c>
      <c r="F196" t="s">
        <v>615</v>
      </c>
    </row>
    <row r="197" spans="1:6" hidden="1" x14ac:dyDescent="0.25">
      <c r="A197" t="s">
        <v>160</v>
      </c>
      <c r="B197" t="s">
        <v>7</v>
      </c>
      <c r="C197" t="s">
        <v>206</v>
      </c>
      <c r="D197">
        <v>1000</v>
      </c>
      <c r="E197" t="s">
        <v>730</v>
      </c>
      <c r="F197" t="s">
        <v>615</v>
      </c>
    </row>
    <row r="198" spans="1:6" hidden="1" x14ac:dyDescent="0.25">
      <c r="A198" t="s">
        <v>160</v>
      </c>
      <c r="B198" t="s">
        <v>7</v>
      </c>
      <c r="C198" t="s">
        <v>207</v>
      </c>
      <c r="D198">
        <v>300</v>
      </c>
      <c r="E198" t="s">
        <v>723</v>
      </c>
      <c r="F198" t="s">
        <v>615</v>
      </c>
    </row>
    <row r="199" spans="1:6" hidden="1" x14ac:dyDescent="0.25">
      <c r="A199" t="s">
        <v>160</v>
      </c>
      <c r="B199" t="s">
        <v>7</v>
      </c>
      <c r="C199" t="s">
        <v>208</v>
      </c>
      <c r="D199">
        <v>500</v>
      </c>
      <c r="E199" t="s">
        <v>715</v>
      </c>
      <c r="F199" t="s">
        <v>615</v>
      </c>
    </row>
    <row r="200" spans="1:6" hidden="1" x14ac:dyDescent="0.25">
      <c r="A200" t="s">
        <v>160</v>
      </c>
      <c r="B200" t="s">
        <v>7</v>
      </c>
      <c r="C200" t="s">
        <v>209</v>
      </c>
      <c r="D200">
        <v>700</v>
      </c>
      <c r="E200" t="s">
        <v>731</v>
      </c>
      <c r="F200" t="s">
        <v>615</v>
      </c>
    </row>
    <row r="201" spans="1:6" hidden="1" x14ac:dyDescent="0.25">
      <c r="A201" t="s">
        <v>160</v>
      </c>
      <c r="B201" t="s">
        <v>7</v>
      </c>
      <c r="C201" t="s">
        <v>210</v>
      </c>
      <c r="D201">
        <v>800</v>
      </c>
      <c r="E201" t="s">
        <v>721</v>
      </c>
      <c r="F201" t="s">
        <v>615</v>
      </c>
    </row>
    <row r="202" spans="1:6" hidden="1" x14ac:dyDescent="0.25">
      <c r="A202" t="s">
        <v>160</v>
      </c>
      <c r="B202" t="s">
        <v>58</v>
      </c>
      <c r="C202" t="s">
        <v>211</v>
      </c>
      <c r="D202">
        <v>1000</v>
      </c>
      <c r="E202" t="s">
        <v>732</v>
      </c>
      <c r="F202" t="s">
        <v>615</v>
      </c>
    </row>
    <row r="203" spans="1:6" hidden="1" x14ac:dyDescent="0.25">
      <c r="A203" t="s">
        <v>160</v>
      </c>
      <c r="B203" t="s">
        <v>58</v>
      </c>
      <c r="C203" t="s">
        <v>212</v>
      </c>
      <c r="D203">
        <v>300</v>
      </c>
      <c r="E203" t="s">
        <v>733</v>
      </c>
      <c r="F203" t="s">
        <v>615</v>
      </c>
    </row>
    <row r="204" spans="1:6" hidden="1" x14ac:dyDescent="0.25">
      <c r="A204" t="s">
        <v>160</v>
      </c>
      <c r="B204" t="s">
        <v>58</v>
      </c>
      <c r="C204" t="s">
        <v>213</v>
      </c>
      <c r="D204">
        <v>500</v>
      </c>
      <c r="E204" t="s">
        <v>734</v>
      </c>
      <c r="F204" t="s">
        <v>615</v>
      </c>
    </row>
    <row r="205" spans="1:6" hidden="1" x14ac:dyDescent="0.25">
      <c r="A205" t="s">
        <v>160</v>
      </c>
      <c r="B205" t="s">
        <v>58</v>
      </c>
      <c r="C205" t="s">
        <v>214</v>
      </c>
      <c r="D205">
        <v>700</v>
      </c>
      <c r="E205" t="s">
        <v>735</v>
      </c>
      <c r="F205" t="s">
        <v>615</v>
      </c>
    </row>
    <row r="206" spans="1:6" hidden="1" x14ac:dyDescent="0.25">
      <c r="A206" t="s">
        <v>160</v>
      </c>
      <c r="B206" t="s">
        <v>58</v>
      </c>
      <c r="C206" t="s">
        <v>215</v>
      </c>
      <c r="D206">
        <v>800</v>
      </c>
      <c r="E206" t="s">
        <v>736</v>
      </c>
      <c r="F206" t="s">
        <v>615</v>
      </c>
    </row>
    <row r="207" spans="1:6" hidden="1" x14ac:dyDescent="0.25">
      <c r="A207" t="s">
        <v>160</v>
      </c>
      <c r="B207" t="s">
        <v>58</v>
      </c>
      <c r="C207" t="s">
        <v>216</v>
      </c>
      <c r="D207">
        <v>1000</v>
      </c>
      <c r="E207" t="s">
        <v>737</v>
      </c>
      <c r="F207" t="s">
        <v>615</v>
      </c>
    </row>
    <row r="208" spans="1:6" hidden="1" x14ac:dyDescent="0.25">
      <c r="A208" t="s">
        <v>160</v>
      </c>
      <c r="B208" t="s">
        <v>58</v>
      </c>
      <c r="C208" t="s">
        <v>217</v>
      </c>
      <c r="D208">
        <v>300</v>
      </c>
      <c r="E208" s="23">
        <v>9950000000000000</v>
      </c>
      <c r="F208" t="s">
        <v>615</v>
      </c>
    </row>
    <row r="209" spans="1:6" hidden="1" x14ac:dyDescent="0.25">
      <c r="A209" t="s">
        <v>160</v>
      </c>
      <c r="B209" t="s">
        <v>58</v>
      </c>
      <c r="C209" t="s">
        <v>218</v>
      </c>
      <c r="D209">
        <v>500</v>
      </c>
      <c r="E209" t="s">
        <v>738</v>
      </c>
      <c r="F209" t="s">
        <v>615</v>
      </c>
    </row>
    <row r="210" spans="1:6" hidden="1" x14ac:dyDescent="0.25">
      <c r="A210" t="s">
        <v>160</v>
      </c>
      <c r="B210" t="s">
        <v>58</v>
      </c>
      <c r="C210" t="s">
        <v>219</v>
      </c>
      <c r="D210">
        <v>700</v>
      </c>
      <c r="E210" t="s">
        <v>739</v>
      </c>
      <c r="F210" t="s">
        <v>615</v>
      </c>
    </row>
    <row r="211" spans="1:6" hidden="1" x14ac:dyDescent="0.25">
      <c r="A211" t="s">
        <v>160</v>
      </c>
      <c r="B211" t="s">
        <v>58</v>
      </c>
      <c r="C211" t="s">
        <v>220</v>
      </c>
      <c r="D211">
        <v>800</v>
      </c>
      <c r="E211" t="s">
        <v>736</v>
      </c>
      <c r="F211" t="s">
        <v>615</v>
      </c>
    </row>
    <row r="212" spans="1:6" hidden="1" x14ac:dyDescent="0.25">
      <c r="A212" t="s">
        <v>160</v>
      </c>
      <c r="B212" t="s">
        <v>58</v>
      </c>
      <c r="C212" t="s">
        <v>221</v>
      </c>
      <c r="D212">
        <v>1000</v>
      </c>
      <c r="E212" t="s">
        <v>740</v>
      </c>
      <c r="F212" t="s">
        <v>615</v>
      </c>
    </row>
    <row r="213" spans="1:6" hidden="1" x14ac:dyDescent="0.25">
      <c r="A213" t="s">
        <v>160</v>
      </c>
      <c r="B213" t="s">
        <v>58</v>
      </c>
      <c r="C213" t="s">
        <v>222</v>
      </c>
      <c r="D213">
        <v>300</v>
      </c>
      <c r="E213" t="s">
        <v>741</v>
      </c>
      <c r="F213" t="s">
        <v>615</v>
      </c>
    </row>
    <row r="214" spans="1:6" hidden="1" x14ac:dyDescent="0.25">
      <c r="A214" t="s">
        <v>160</v>
      </c>
      <c r="B214" t="s">
        <v>58</v>
      </c>
      <c r="C214" t="s">
        <v>223</v>
      </c>
      <c r="D214">
        <v>500</v>
      </c>
      <c r="E214" t="s">
        <v>742</v>
      </c>
      <c r="F214" t="s">
        <v>615</v>
      </c>
    </row>
    <row r="215" spans="1:6" hidden="1" x14ac:dyDescent="0.25">
      <c r="A215" t="s">
        <v>160</v>
      </c>
      <c r="B215" t="s">
        <v>58</v>
      </c>
      <c r="C215" t="s">
        <v>224</v>
      </c>
      <c r="D215">
        <v>700</v>
      </c>
      <c r="E215" t="s">
        <v>701</v>
      </c>
      <c r="F215" t="s">
        <v>615</v>
      </c>
    </row>
    <row r="216" spans="1:6" hidden="1" x14ac:dyDescent="0.25">
      <c r="A216" t="s">
        <v>160</v>
      </c>
      <c r="B216" t="s">
        <v>58</v>
      </c>
      <c r="C216" t="s">
        <v>225</v>
      </c>
      <c r="D216">
        <v>800</v>
      </c>
      <c r="E216" t="s">
        <v>743</v>
      </c>
      <c r="F216" t="s">
        <v>615</v>
      </c>
    </row>
    <row r="217" spans="1:6" hidden="1" x14ac:dyDescent="0.25">
      <c r="A217" t="s">
        <v>160</v>
      </c>
      <c r="B217" t="s">
        <v>58</v>
      </c>
      <c r="C217" t="s">
        <v>226</v>
      </c>
      <c r="D217">
        <v>1000</v>
      </c>
      <c r="E217" t="s">
        <v>744</v>
      </c>
      <c r="F217" t="s">
        <v>615</v>
      </c>
    </row>
    <row r="218" spans="1:6" hidden="1" x14ac:dyDescent="0.25">
      <c r="A218" t="s">
        <v>160</v>
      </c>
      <c r="B218" t="s">
        <v>58</v>
      </c>
      <c r="C218" t="s">
        <v>227</v>
      </c>
      <c r="D218">
        <v>300</v>
      </c>
      <c r="E218" t="s">
        <v>741</v>
      </c>
      <c r="F218" t="s">
        <v>615</v>
      </c>
    </row>
    <row r="219" spans="1:6" hidden="1" x14ac:dyDescent="0.25">
      <c r="A219" t="s">
        <v>160</v>
      </c>
      <c r="B219" t="s">
        <v>58</v>
      </c>
      <c r="C219" t="s">
        <v>228</v>
      </c>
      <c r="D219">
        <v>500</v>
      </c>
      <c r="E219" t="s">
        <v>742</v>
      </c>
      <c r="F219" t="s">
        <v>615</v>
      </c>
    </row>
    <row r="220" spans="1:6" hidden="1" x14ac:dyDescent="0.25">
      <c r="A220" t="s">
        <v>160</v>
      </c>
      <c r="B220" t="s">
        <v>58</v>
      </c>
      <c r="C220" t="s">
        <v>229</v>
      </c>
      <c r="D220">
        <v>700</v>
      </c>
      <c r="E220" t="s">
        <v>701</v>
      </c>
      <c r="F220" t="s">
        <v>615</v>
      </c>
    </row>
    <row r="221" spans="1:6" hidden="1" x14ac:dyDescent="0.25">
      <c r="A221" t="s">
        <v>160</v>
      </c>
      <c r="B221" t="s">
        <v>58</v>
      </c>
      <c r="C221" t="s">
        <v>230</v>
      </c>
      <c r="D221">
        <v>800</v>
      </c>
      <c r="E221" t="s">
        <v>711</v>
      </c>
      <c r="F221" t="s">
        <v>615</v>
      </c>
    </row>
    <row r="222" spans="1:6" hidden="1" x14ac:dyDescent="0.25">
      <c r="A222" t="s">
        <v>160</v>
      </c>
      <c r="B222" t="s">
        <v>58</v>
      </c>
      <c r="C222" t="s">
        <v>231</v>
      </c>
      <c r="D222">
        <v>1000</v>
      </c>
      <c r="E222" t="s">
        <v>745</v>
      </c>
      <c r="F222" t="s">
        <v>615</v>
      </c>
    </row>
    <row r="223" spans="1:6" hidden="1" x14ac:dyDescent="0.25">
      <c r="A223" t="s">
        <v>160</v>
      </c>
      <c r="B223" t="s">
        <v>58</v>
      </c>
      <c r="C223" t="s">
        <v>232</v>
      </c>
      <c r="D223">
        <v>300</v>
      </c>
      <c r="E223" t="s">
        <v>703</v>
      </c>
      <c r="F223" t="s">
        <v>615</v>
      </c>
    </row>
    <row r="224" spans="1:6" hidden="1" x14ac:dyDescent="0.25">
      <c r="A224" t="s">
        <v>160</v>
      </c>
      <c r="B224" t="s">
        <v>58</v>
      </c>
      <c r="C224" t="s">
        <v>233</v>
      </c>
      <c r="D224">
        <v>500</v>
      </c>
      <c r="E224" t="s">
        <v>746</v>
      </c>
      <c r="F224" t="s">
        <v>615</v>
      </c>
    </row>
    <row r="225" spans="1:6" hidden="1" x14ac:dyDescent="0.25">
      <c r="A225" t="s">
        <v>160</v>
      </c>
      <c r="B225" t="s">
        <v>58</v>
      </c>
      <c r="C225" t="s">
        <v>234</v>
      </c>
      <c r="D225">
        <v>700</v>
      </c>
      <c r="E225" t="s">
        <v>747</v>
      </c>
      <c r="F225" t="s">
        <v>615</v>
      </c>
    </row>
    <row r="226" spans="1:6" hidden="1" x14ac:dyDescent="0.25">
      <c r="A226" t="s">
        <v>160</v>
      </c>
      <c r="B226" t="s">
        <v>58</v>
      </c>
      <c r="C226" t="s">
        <v>235</v>
      </c>
      <c r="D226">
        <v>800</v>
      </c>
      <c r="E226" t="s">
        <v>702</v>
      </c>
      <c r="F226" t="s">
        <v>615</v>
      </c>
    </row>
    <row r="227" spans="1:6" hidden="1" x14ac:dyDescent="0.25">
      <c r="A227" t="s">
        <v>160</v>
      </c>
      <c r="B227" t="s">
        <v>58</v>
      </c>
      <c r="C227" t="s">
        <v>236</v>
      </c>
      <c r="D227">
        <v>1000</v>
      </c>
      <c r="E227" t="s">
        <v>744</v>
      </c>
      <c r="F227" t="s">
        <v>615</v>
      </c>
    </row>
    <row r="228" spans="1:6" hidden="1" x14ac:dyDescent="0.25">
      <c r="A228" t="s">
        <v>160</v>
      </c>
      <c r="B228" t="s">
        <v>58</v>
      </c>
      <c r="C228" t="s">
        <v>237</v>
      </c>
      <c r="D228">
        <v>300</v>
      </c>
      <c r="E228" t="s">
        <v>723</v>
      </c>
      <c r="F228" t="s">
        <v>615</v>
      </c>
    </row>
    <row r="229" spans="1:6" hidden="1" x14ac:dyDescent="0.25">
      <c r="A229" t="s">
        <v>160</v>
      </c>
      <c r="B229" t="s">
        <v>58</v>
      </c>
      <c r="C229" t="s">
        <v>238</v>
      </c>
      <c r="D229">
        <v>500</v>
      </c>
      <c r="E229" t="s">
        <v>734</v>
      </c>
      <c r="F229" t="s">
        <v>615</v>
      </c>
    </row>
    <row r="230" spans="1:6" hidden="1" x14ac:dyDescent="0.25">
      <c r="A230" t="s">
        <v>160</v>
      </c>
      <c r="B230" t="s">
        <v>58</v>
      </c>
      <c r="C230" t="s">
        <v>239</v>
      </c>
      <c r="D230">
        <v>700</v>
      </c>
      <c r="E230" t="s">
        <v>724</v>
      </c>
      <c r="F230" t="s">
        <v>615</v>
      </c>
    </row>
    <row r="231" spans="1:6" hidden="1" x14ac:dyDescent="0.25">
      <c r="A231" t="s">
        <v>160</v>
      </c>
      <c r="B231" t="s">
        <v>58</v>
      </c>
      <c r="C231" t="s">
        <v>240</v>
      </c>
      <c r="D231">
        <v>800</v>
      </c>
      <c r="E231" t="s">
        <v>618</v>
      </c>
      <c r="F231" t="s">
        <v>615</v>
      </c>
    </row>
    <row r="232" spans="1:6" hidden="1" x14ac:dyDescent="0.25">
      <c r="A232" t="s">
        <v>160</v>
      </c>
      <c r="B232" t="s">
        <v>58</v>
      </c>
      <c r="C232" t="s">
        <v>241</v>
      </c>
      <c r="D232">
        <v>1000</v>
      </c>
      <c r="E232" t="s">
        <v>732</v>
      </c>
      <c r="F232" t="s">
        <v>615</v>
      </c>
    </row>
    <row r="233" spans="1:6" hidden="1" x14ac:dyDescent="0.25">
      <c r="A233" t="s">
        <v>160</v>
      </c>
      <c r="B233" t="s">
        <v>58</v>
      </c>
      <c r="C233" t="s">
        <v>242</v>
      </c>
      <c r="D233">
        <v>300</v>
      </c>
      <c r="E233" t="s">
        <v>741</v>
      </c>
      <c r="F233" t="s">
        <v>615</v>
      </c>
    </row>
    <row r="234" spans="1:6" hidden="1" x14ac:dyDescent="0.25">
      <c r="A234" t="s">
        <v>160</v>
      </c>
      <c r="B234" t="s">
        <v>58</v>
      </c>
      <c r="C234" t="s">
        <v>243</v>
      </c>
      <c r="D234">
        <v>500</v>
      </c>
      <c r="E234" t="s">
        <v>748</v>
      </c>
      <c r="F234" t="s">
        <v>615</v>
      </c>
    </row>
    <row r="235" spans="1:6" hidden="1" x14ac:dyDescent="0.25">
      <c r="A235" t="s">
        <v>160</v>
      </c>
      <c r="B235" t="s">
        <v>58</v>
      </c>
      <c r="C235" t="s">
        <v>244</v>
      </c>
      <c r="D235">
        <v>700</v>
      </c>
      <c r="E235" t="s">
        <v>749</v>
      </c>
      <c r="F235" t="s">
        <v>615</v>
      </c>
    </row>
    <row r="236" spans="1:6" hidden="1" x14ac:dyDescent="0.25">
      <c r="A236" t="s">
        <v>160</v>
      </c>
      <c r="B236" t="s">
        <v>58</v>
      </c>
      <c r="C236" t="s">
        <v>245</v>
      </c>
      <c r="D236">
        <v>800</v>
      </c>
      <c r="E236" t="s">
        <v>711</v>
      </c>
      <c r="F236" t="s">
        <v>615</v>
      </c>
    </row>
    <row r="237" spans="1:6" hidden="1" x14ac:dyDescent="0.25">
      <c r="A237" t="s">
        <v>160</v>
      </c>
      <c r="B237" t="s">
        <v>58</v>
      </c>
      <c r="C237" t="s">
        <v>246</v>
      </c>
      <c r="D237">
        <v>1000</v>
      </c>
      <c r="E237" t="s">
        <v>750</v>
      </c>
      <c r="F237" t="s">
        <v>615</v>
      </c>
    </row>
    <row r="238" spans="1:6" hidden="1" x14ac:dyDescent="0.25">
      <c r="A238" t="s">
        <v>160</v>
      </c>
      <c r="B238" t="s">
        <v>58</v>
      </c>
      <c r="C238" t="s">
        <v>247</v>
      </c>
      <c r="D238">
        <v>300</v>
      </c>
      <c r="E238" t="s">
        <v>703</v>
      </c>
      <c r="F238" t="s">
        <v>615</v>
      </c>
    </row>
    <row r="239" spans="1:6" hidden="1" x14ac:dyDescent="0.25">
      <c r="A239" t="s">
        <v>160</v>
      </c>
      <c r="B239" t="s">
        <v>58</v>
      </c>
      <c r="C239" t="s">
        <v>248</v>
      </c>
      <c r="D239">
        <v>500</v>
      </c>
      <c r="E239" s="23">
        <v>1.38499999999999E+16</v>
      </c>
      <c r="F239" t="s">
        <v>615</v>
      </c>
    </row>
    <row r="240" spans="1:6" hidden="1" x14ac:dyDescent="0.25">
      <c r="A240" t="s">
        <v>160</v>
      </c>
      <c r="B240" t="s">
        <v>58</v>
      </c>
      <c r="C240" t="s">
        <v>249</v>
      </c>
      <c r="D240">
        <v>700</v>
      </c>
      <c r="E240" t="s">
        <v>668</v>
      </c>
      <c r="F240" t="s">
        <v>615</v>
      </c>
    </row>
    <row r="241" spans="1:6" hidden="1" x14ac:dyDescent="0.25">
      <c r="A241" t="s">
        <v>160</v>
      </c>
      <c r="B241" t="s">
        <v>58</v>
      </c>
      <c r="C241" t="s">
        <v>250</v>
      </c>
      <c r="D241">
        <v>800</v>
      </c>
      <c r="E241" t="s">
        <v>721</v>
      </c>
      <c r="F241" t="s">
        <v>615</v>
      </c>
    </row>
    <row r="242" spans="1:6" hidden="1" x14ac:dyDescent="0.25">
      <c r="A242" t="s">
        <v>160</v>
      </c>
      <c r="B242" t="s">
        <v>58</v>
      </c>
      <c r="C242" t="s">
        <v>251</v>
      </c>
      <c r="D242">
        <v>1000</v>
      </c>
      <c r="E242" t="s">
        <v>751</v>
      </c>
      <c r="F242" t="s">
        <v>615</v>
      </c>
    </row>
    <row r="243" spans="1:6" hidden="1" x14ac:dyDescent="0.25">
      <c r="A243" t="s">
        <v>160</v>
      </c>
      <c r="B243" t="s">
        <v>58</v>
      </c>
      <c r="C243" t="s">
        <v>252</v>
      </c>
      <c r="D243">
        <v>300</v>
      </c>
      <c r="E243" s="23">
        <v>9450000000000000</v>
      </c>
      <c r="F243" t="s">
        <v>615</v>
      </c>
    </row>
    <row r="244" spans="1:6" hidden="1" x14ac:dyDescent="0.25">
      <c r="A244" t="s">
        <v>160</v>
      </c>
      <c r="B244" t="s">
        <v>58</v>
      </c>
      <c r="C244" t="s">
        <v>253</v>
      </c>
      <c r="D244">
        <v>500</v>
      </c>
      <c r="E244" t="s">
        <v>752</v>
      </c>
      <c r="F244" t="s">
        <v>615</v>
      </c>
    </row>
    <row r="245" spans="1:6" hidden="1" x14ac:dyDescent="0.25">
      <c r="A245" t="s">
        <v>160</v>
      </c>
      <c r="B245" t="s">
        <v>58</v>
      </c>
      <c r="C245" t="s">
        <v>254</v>
      </c>
      <c r="D245">
        <v>700</v>
      </c>
      <c r="E245" t="s">
        <v>753</v>
      </c>
      <c r="F245" t="s">
        <v>615</v>
      </c>
    </row>
    <row r="246" spans="1:6" hidden="1" x14ac:dyDescent="0.25">
      <c r="A246" t="s">
        <v>160</v>
      </c>
      <c r="B246" t="s">
        <v>58</v>
      </c>
      <c r="C246" t="s">
        <v>255</v>
      </c>
      <c r="D246">
        <v>800</v>
      </c>
      <c r="E246" t="s">
        <v>702</v>
      </c>
      <c r="F246" t="s">
        <v>615</v>
      </c>
    </row>
    <row r="247" spans="1:6" hidden="1" x14ac:dyDescent="0.25">
      <c r="A247" t="s">
        <v>160</v>
      </c>
      <c r="B247" t="s">
        <v>58</v>
      </c>
      <c r="C247" t="s">
        <v>256</v>
      </c>
      <c r="D247">
        <v>1000</v>
      </c>
      <c r="E247" t="s">
        <v>751</v>
      </c>
      <c r="F247" t="s">
        <v>615</v>
      </c>
    </row>
    <row r="248" spans="1:6" hidden="1" x14ac:dyDescent="0.25">
      <c r="A248" t="s">
        <v>160</v>
      </c>
      <c r="B248" t="s">
        <v>58</v>
      </c>
      <c r="C248" t="s">
        <v>257</v>
      </c>
      <c r="D248">
        <v>300</v>
      </c>
      <c r="E248" t="s">
        <v>754</v>
      </c>
      <c r="F248" t="s">
        <v>615</v>
      </c>
    </row>
    <row r="249" spans="1:6" hidden="1" x14ac:dyDescent="0.25">
      <c r="A249" t="s">
        <v>160</v>
      </c>
      <c r="B249" t="s">
        <v>58</v>
      </c>
      <c r="C249" t="s">
        <v>258</v>
      </c>
      <c r="D249">
        <v>500</v>
      </c>
      <c r="E249" t="s">
        <v>752</v>
      </c>
      <c r="F249" t="s">
        <v>615</v>
      </c>
    </row>
    <row r="250" spans="1:6" hidden="1" x14ac:dyDescent="0.25">
      <c r="A250" t="s">
        <v>160</v>
      </c>
      <c r="B250" t="s">
        <v>58</v>
      </c>
      <c r="C250" t="s">
        <v>259</v>
      </c>
      <c r="D250">
        <v>700</v>
      </c>
      <c r="E250" t="s">
        <v>749</v>
      </c>
      <c r="F250" t="s">
        <v>615</v>
      </c>
    </row>
    <row r="251" spans="1:6" hidden="1" x14ac:dyDescent="0.25">
      <c r="A251" t="s">
        <v>160</v>
      </c>
      <c r="B251" t="s">
        <v>58</v>
      </c>
      <c r="C251" t="s">
        <v>260</v>
      </c>
      <c r="D251">
        <v>800</v>
      </c>
      <c r="E251" t="s">
        <v>736</v>
      </c>
      <c r="F251" t="s">
        <v>615</v>
      </c>
    </row>
    <row r="252" spans="1:6" hidden="1" x14ac:dyDescent="0.25">
      <c r="A252" t="s">
        <v>160</v>
      </c>
      <c r="B252" t="s">
        <v>109</v>
      </c>
      <c r="C252" t="s">
        <v>261</v>
      </c>
      <c r="D252">
        <v>1000</v>
      </c>
      <c r="E252" t="s">
        <v>755</v>
      </c>
      <c r="F252" t="s">
        <v>615</v>
      </c>
    </row>
    <row r="253" spans="1:6" hidden="1" x14ac:dyDescent="0.25">
      <c r="A253" t="s">
        <v>160</v>
      </c>
      <c r="B253" t="s">
        <v>109</v>
      </c>
      <c r="C253" t="s">
        <v>262</v>
      </c>
      <c r="D253">
        <v>300</v>
      </c>
      <c r="E253" t="s">
        <v>756</v>
      </c>
      <c r="F253" t="s">
        <v>615</v>
      </c>
    </row>
    <row r="254" spans="1:6" hidden="1" x14ac:dyDescent="0.25">
      <c r="A254" t="s">
        <v>160</v>
      </c>
      <c r="B254" t="s">
        <v>109</v>
      </c>
      <c r="C254" t="s">
        <v>263</v>
      </c>
      <c r="D254">
        <v>500</v>
      </c>
      <c r="E254" t="s">
        <v>757</v>
      </c>
      <c r="F254" t="s">
        <v>615</v>
      </c>
    </row>
    <row r="255" spans="1:6" hidden="1" x14ac:dyDescent="0.25">
      <c r="A255" t="s">
        <v>160</v>
      </c>
      <c r="B255" t="s">
        <v>109</v>
      </c>
      <c r="C255" t="s">
        <v>264</v>
      </c>
      <c r="D255">
        <v>700</v>
      </c>
      <c r="E255" t="s">
        <v>758</v>
      </c>
      <c r="F255" t="s">
        <v>615</v>
      </c>
    </row>
    <row r="256" spans="1:6" hidden="1" x14ac:dyDescent="0.25">
      <c r="A256" t="s">
        <v>160</v>
      </c>
      <c r="B256" t="s">
        <v>109</v>
      </c>
      <c r="C256" t="s">
        <v>265</v>
      </c>
      <c r="D256">
        <v>800</v>
      </c>
      <c r="E256" t="s">
        <v>759</v>
      </c>
      <c r="F256" t="s">
        <v>615</v>
      </c>
    </row>
    <row r="257" spans="1:6" hidden="1" x14ac:dyDescent="0.25">
      <c r="A257" t="s">
        <v>160</v>
      </c>
      <c r="B257" t="s">
        <v>109</v>
      </c>
      <c r="C257" t="s">
        <v>266</v>
      </c>
      <c r="D257">
        <v>1000</v>
      </c>
      <c r="E257" t="s">
        <v>760</v>
      </c>
      <c r="F257" t="s">
        <v>615</v>
      </c>
    </row>
    <row r="258" spans="1:6" hidden="1" x14ac:dyDescent="0.25">
      <c r="A258" t="s">
        <v>160</v>
      </c>
      <c r="B258" t="s">
        <v>109</v>
      </c>
      <c r="C258" t="s">
        <v>267</v>
      </c>
      <c r="D258">
        <v>300</v>
      </c>
      <c r="E258" s="23">
        <v>1.16066666666666E+16</v>
      </c>
      <c r="F258" t="s">
        <v>615</v>
      </c>
    </row>
    <row r="259" spans="1:6" hidden="1" x14ac:dyDescent="0.25">
      <c r="A259" t="s">
        <v>160</v>
      </c>
      <c r="B259" t="s">
        <v>109</v>
      </c>
      <c r="C259" t="s">
        <v>268</v>
      </c>
      <c r="D259">
        <v>500</v>
      </c>
      <c r="E259" t="s">
        <v>761</v>
      </c>
      <c r="F259" t="s">
        <v>615</v>
      </c>
    </row>
    <row r="260" spans="1:6" hidden="1" x14ac:dyDescent="0.25">
      <c r="A260" t="s">
        <v>160</v>
      </c>
      <c r="B260" t="s">
        <v>109</v>
      </c>
      <c r="C260" t="s">
        <v>269</v>
      </c>
      <c r="D260">
        <v>700</v>
      </c>
      <c r="E260" t="s">
        <v>762</v>
      </c>
      <c r="F260" t="s">
        <v>615</v>
      </c>
    </row>
    <row r="261" spans="1:6" hidden="1" x14ac:dyDescent="0.25">
      <c r="A261" t="s">
        <v>160</v>
      </c>
      <c r="B261" t="s">
        <v>109</v>
      </c>
      <c r="C261" t="s">
        <v>270</v>
      </c>
      <c r="D261">
        <v>800</v>
      </c>
      <c r="E261" t="s">
        <v>763</v>
      </c>
      <c r="F261" t="s">
        <v>615</v>
      </c>
    </row>
    <row r="262" spans="1:6" hidden="1" x14ac:dyDescent="0.25">
      <c r="A262" t="s">
        <v>160</v>
      </c>
      <c r="B262" t="s">
        <v>109</v>
      </c>
      <c r="C262" t="s">
        <v>271</v>
      </c>
      <c r="D262">
        <v>1000</v>
      </c>
      <c r="E262" t="s">
        <v>764</v>
      </c>
      <c r="F262" t="s">
        <v>615</v>
      </c>
    </row>
    <row r="263" spans="1:6" hidden="1" x14ac:dyDescent="0.25">
      <c r="A263" t="s">
        <v>160</v>
      </c>
      <c r="B263" t="s">
        <v>109</v>
      </c>
      <c r="C263" t="s">
        <v>272</v>
      </c>
      <c r="D263">
        <v>300</v>
      </c>
      <c r="E263" s="23">
        <v>1.28694736842105E+16</v>
      </c>
      <c r="F263" t="s">
        <v>615</v>
      </c>
    </row>
    <row r="264" spans="1:6" hidden="1" x14ac:dyDescent="0.25">
      <c r="A264" t="s">
        <v>160</v>
      </c>
      <c r="B264" t="s">
        <v>109</v>
      </c>
      <c r="C264" t="s">
        <v>273</v>
      </c>
      <c r="D264">
        <v>500</v>
      </c>
      <c r="E264" s="23">
        <v>1.3996923076923E+16</v>
      </c>
      <c r="F264" t="s">
        <v>615</v>
      </c>
    </row>
    <row r="265" spans="1:6" hidden="1" x14ac:dyDescent="0.25">
      <c r="A265" t="s">
        <v>160</v>
      </c>
      <c r="B265" t="s">
        <v>109</v>
      </c>
      <c r="C265" t="s">
        <v>274</v>
      </c>
      <c r="D265">
        <v>700</v>
      </c>
      <c r="E265" t="s">
        <v>765</v>
      </c>
      <c r="F265" t="s">
        <v>615</v>
      </c>
    </row>
    <row r="266" spans="1:6" hidden="1" x14ac:dyDescent="0.25">
      <c r="A266" t="s">
        <v>160</v>
      </c>
      <c r="B266" t="s">
        <v>109</v>
      </c>
      <c r="C266" t="s">
        <v>275</v>
      </c>
      <c r="D266">
        <v>800</v>
      </c>
      <c r="E266" t="s">
        <v>728</v>
      </c>
      <c r="F266" t="s">
        <v>615</v>
      </c>
    </row>
    <row r="267" spans="1:6" hidden="1" x14ac:dyDescent="0.25">
      <c r="A267" t="s">
        <v>160</v>
      </c>
      <c r="B267" t="s">
        <v>109</v>
      </c>
      <c r="C267" t="s">
        <v>276</v>
      </c>
      <c r="D267">
        <v>1000</v>
      </c>
      <c r="E267" t="s">
        <v>766</v>
      </c>
      <c r="F267" t="s">
        <v>615</v>
      </c>
    </row>
    <row r="268" spans="1:6" hidden="1" x14ac:dyDescent="0.25">
      <c r="A268" t="s">
        <v>160</v>
      </c>
      <c r="B268" t="s">
        <v>109</v>
      </c>
      <c r="C268" t="s">
        <v>277</v>
      </c>
      <c r="D268">
        <v>300</v>
      </c>
      <c r="E268" t="s">
        <v>767</v>
      </c>
      <c r="F268" t="s">
        <v>615</v>
      </c>
    </row>
    <row r="269" spans="1:6" hidden="1" x14ac:dyDescent="0.25">
      <c r="A269" t="s">
        <v>160</v>
      </c>
      <c r="B269" t="s">
        <v>109</v>
      </c>
      <c r="C269" t="s">
        <v>278</v>
      </c>
      <c r="D269">
        <v>500</v>
      </c>
      <c r="E269" t="s">
        <v>768</v>
      </c>
      <c r="F269" t="s">
        <v>615</v>
      </c>
    </row>
    <row r="270" spans="1:6" hidden="1" x14ac:dyDescent="0.25">
      <c r="A270" t="s">
        <v>160</v>
      </c>
      <c r="B270" t="s">
        <v>109</v>
      </c>
      <c r="C270" t="s">
        <v>279</v>
      </c>
      <c r="D270">
        <v>700</v>
      </c>
      <c r="E270" t="s">
        <v>769</v>
      </c>
      <c r="F270" t="s">
        <v>615</v>
      </c>
    </row>
    <row r="271" spans="1:6" hidden="1" x14ac:dyDescent="0.25">
      <c r="A271" t="s">
        <v>160</v>
      </c>
      <c r="B271" t="s">
        <v>109</v>
      </c>
      <c r="C271" t="s">
        <v>280</v>
      </c>
      <c r="D271">
        <v>800</v>
      </c>
      <c r="E271" t="s">
        <v>770</v>
      </c>
      <c r="F271" t="s">
        <v>615</v>
      </c>
    </row>
    <row r="272" spans="1:6" hidden="1" x14ac:dyDescent="0.25">
      <c r="A272" t="s">
        <v>160</v>
      </c>
      <c r="B272" t="s">
        <v>109</v>
      </c>
      <c r="C272" t="s">
        <v>281</v>
      </c>
      <c r="D272">
        <v>1000</v>
      </c>
      <c r="E272" t="s">
        <v>771</v>
      </c>
      <c r="F272" t="s">
        <v>615</v>
      </c>
    </row>
    <row r="273" spans="1:6" hidden="1" x14ac:dyDescent="0.25">
      <c r="A273" t="s">
        <v>160</v>
      </c>
      <c r="B273" t="s">
        <v>109</v>
      </c>
      <c r="C273" t="s">
        <v>282</v>
      </c>
      <c r="D273">
        <v>300</v>
      </c>
      <c r="E273" t="s">
        <v>772</v>
      </c>
      <c r="F273" t="s">
        <v>615</v>
      </c>
    </row>
    <row r="274" spans="1:6" hidden="1" x14ac:dyDescent="0.25">
      <c r="A274" t="s">
        <v>160</v>
      </c>
      <c r="B274" t="s">
        <v>109</v>
      </c>
      <c r="C274" t="s">
        <v>283</v>
      </c>
      <c r="D274">
        <v>500</v>
      </c>
      <c r="E274" t="s">
        <v>773</v>
      </c>
      <c r="F274" t="s">
        <v>615</v>
      </c>
    </row>
    <row r="275" spans="1:6" hidden="1" x14ac:dyDescent="0.25">
      <c r="A275" t="s">
        <v>160</v>
      </c>
      <c r="B275" t="s">
        <v>109</v>
      </c>
      <c r="C275" t="s">
        <v>284</v>
      </c>
      <c r="D275">
        <v>700</v>
      </c>
      <c r="E275" t="s">
        <v>774</v>
      </c>
      <c r="F275" t="s">
        <v>615</v>
      </c>
    </row>
    <row r="276" spans="1:6" hidden="1" x14ac:dyDescent="0.25">
      <c r="A276" t="s">
        <v>160</v>
      </c>
      <c r="B276" t="s">
        <v>109</v>
      </c>
      <c r="C276" t="s">
        <v>285</v>
      </c>
      <c r="D276">
        <v>800</v>
      </c>
      <c r="E276" t="s">
        <v>775</v>
      </c>
      <c r="F276" t="s">
        <v>615</v>
      </c>
    </row>
    <row r="277" spans="1:6" hidden="1" x14ac:dyDescent="0.25">
      <c r="A277" t="s">
        <v>160</v>
      </c>
      <c r="B277" t="s">
        <v>109</v>
      </c>
      <c r="C277" t="s">
        <v>286</v>
      </c>
      <c r="D277">
        <v>1000</v>
      </c>
      <c r="E277" t="s">
        <v>765</v>
      </c>
      <c r="F277" t="s">
        <v>615</v>
      </c>
    </row>
    <row r="278" spans="1:6" hidden="1" x14ac:dyDescent="0.25">
      <c r="A278" t="s">
        <v>160</v>
      </c>
      <c r="B278" t="s">
        <v>109</v>
      </c>
      <c r="C278" t="s">
        <v>287</v>
      </c>
      <c r="D278">
        <v>300</v>
      </c>
      <c r="E278" t="s">
        <v>776</v>
      </c>
      <c r="F278" t="s">
        <v>615</v>
      </c>
    </row>
    <row r="279" spans="1:6" hidden="1" x14ac:dyDescent="0.25">
      <c r="A279" t="s">
        <v>160</v>
      </c>
      <c r="B279" t="s">
        <v>109</v>
      </c>
      <c r="C279" t="s">
        <v>288</v>
      </c>
      <c r="D279">
        <v>500</v>
      </c>
      <c r="E279" s="23">
        <v>1.52795652173913E+16</v>
      </c>
      <c r="F279" t="s">
        <v>615</v>
      </c>
    </row>
    <row r="280" spans="1:6" hidden="1" x14ac:dyDescent="0.25">
      <c r="A280" t="s">
        <v>160</v>
      </c>
      <c r="B280" t="s">
        <v>109</v>
      </c>
      <c r="C280" t="s">
        <v>289</v>
      </c>
      <c r="D280">
        <v>700</v>
      </c>
      <c r="E280" t="s">
        <v>777</v>
      </c>
      <c r="F280" t="s">
        <v>615</v>
      </c>
    </row>
    <row r="281" spans="1:6" hidden="1" x14ac:dyDescent="0.25">
      <c r="A281" t="s">
        <v>160</v>
      </c>
      <c r="B281" t="s">
        <v>109</v>
      </c>
      <c r="C281" t="s">
        <v>290</v>
      </c>
      <c r="D281">
        <v>800</v>
      </c>
      <c r="E281" t="s">
        <v>778</v>
      </c>
      <c r="F281" t="s">
        <v>615</v>
      </c>
    </row>
    <row r="282" spans="1:6" hidden="1" x14ac:dyDescent="0.25">
      <c r="A282" t="s">
        <v>160</v>
      </c>
      <c r="B282" t="s">
        <v>109</v>
      </c>
      <c r="C282" t="s">
        <v>291</v>
      </c>
      <c r="D282">
        <v>1000</v>
      </c>
      <c r="E282" t="s">
        <v>779</v>
      </c>
      <c r="F282" t="s">
        <v>615</v>
      </c>
    </row>
    <row r="283" spans="1:6" hidden="1" x14ac:dyDescent="0.25">
      <c r="A283" t="s">
        <v>160</v>
      </c>
      <c r="B283" t="s">
        <v>109</v>
      </c>
      <c r="C283" t="s">
        <v>292</v>
      </c>
      <c r="D283">
        <v>300</v>
      </c>
      <c r="E283" s="23">
        <v>1.28647058823529E+16</v>
      </c>
      <c r="F283" t="s">
        <v>615</v>
      </c>
    </row>
    <row r="284" spans="1:6" hidden="1" x14ac:dyDescent="0.25">
      <c r="A284" t="s">
        <v>160</v>
      </c>
      <c r="B284" t="s">
        <v>109</v>
      </c>
      <c r="C284" t="s">
        <v>293</v>
      </c>
      <c r="D284">
        <v>500</v>
      </c>
      <c r="E284" s="23">
        <v>1558142857142850</v>
      </c>
      <c r="F284" t="s">
        <v>615</v>
      </c>
    </row>
    <row r="285" spans="1:6" hidden="1" x14ac:dyDescent="0.25">
      <c r="A285" t="s">
        <v>160</v>
      </c>
      <c r="B285" t="s">
        <v>109</v>
      </c>
      <c r="C285" t="s">
        <v>294</v>
      </c>
      <c r="D285">
        <v>700</v>
      </c>
      <c r="E285" t="s">
        <v>780</v>
      </c>
      <c r="F285" t="s">
        <v>615</v>
      </c>
    </row>
    <row r="286" spans="1:6" hidden="1" x14ac:dyDescent="0.25">
      <c r="A286" t="s">
        <v>160</v>
      </c>
      <c r="B286" t="s">
        <v>109</v>
      </c>
      <c r="C286" t="s">
        <v>295</v>
      </c>
      <c r="D286">
        <v>800</v>
      </c>
      <c r="E286" t="s">
        <v>781</v>
      </c>
      <c r="F286" t="s">
        <v>615</v>
      </c>
    </row>
    <row r="287" spans="1:6" hidden="1" x14ac:dyDescent="0.25">
      <c r="A287" t="s">
        <v>160</v>
      </c>
      <c r="B287" t="s">
        <v>109</v>
      </c>
      <c r="C287" t="s">
        <v>296</v>
      </c>
      <c r="D287">
        <v>1000</v>
      </c>
      <c r="E287" t="s">
        <v>778</v>
      </c>
      <c r="F287" t="s">
        <v>615</v>
      </c>
    </row>
    <row r="288" spans="1:6" hidden="1" x14ac:dyDescent="0.25">
      <c r="A288" t="s">
        <v>160</v>
      </c>
      <c r="B288" t="s">
        <v>109</v>
      </c>
      <c r="C288" t="s">
        <v>297</v>
      </c>
      <c r="D288">
        <v>300</v>
      </c>
      <c r="E288" s="23">
        <v>1.24082352941176E+16</v>
      </c>
      <c r="F288" t="s">
        <v>615</v>
      </c>
    </row>
    <row r="289" spans="1:6" hidden="1" x14ac:dyDescent="0.25">
      <c r="A289" t="s">
        <v>160</v>
      </c>
      <c r="B289" t="s">
        <v>109</v>
      </c>
      <c r="C289" t="s">
        <v>298</v>
      </c>
      <c r="D289">
        <v>500</v>
      </c>
      <c r="E289" t="s">
        <v>782</v>
      </c>
      <c r="F289" t="s">
        <v>615</v>
      </c>
    </row>
    <row r="290" spans="1:6" hidden="1" x14ac:dyDescent="0.25">
      <c r="A290" t="s">
        <v>160</v>
      </c>
      <c r="B290" t="s">
        <v>109</v>
      </c>
      <c r="C290" t="s">
        <v>299</v>
      </c>
      <c r="D290">
        <v>700</v>
      </c>
      <c r="E290" t="s">
        <v>783</v>
      </c>
      <c r="F290" t="s">
        <v>615</v>
      </c>
    </row>
    <row r="291" spans="1:6" hidden="1" x14ac:dyDescent="0.25">
      <c r="A291" t="s">
        <v>160</v>
      </c>
      <c r="B291" t="s">
        <v>109</v>
      </c>
      <c r="C291" t="s">
        <v>300</v>
      </c>
      <c r="D291">
        <v>800</v>
      </c>
      <c r="E291" t="s">
        <v>784</v>
      </c>
      <c r="F291" t="s">
        <v>615</v>
      </c>
    </row>
    <row r="292" spans="1:6" hidden="1" x14ac:dyDescent="0.25">
      <c r="A292" t="s">
        <v>160</v>
      </c>
      <c r="B292" t="s">
        <v>109</v>
      </c>
      <c r="C292" t="s">
        <v>301</v>
      </c>
      <c r="D292">
        <v>1000</v>
      </c>
      <c r="E292" t="s">
        <v>785</v>
      </c>
      <c r="F292" t="s">
        <v>615</v>
      </c>
    </row>
    <row r="293" spans="1:6" hidden="1" x14ac:dyDescent="0.25">
      <c r="A293" t="s">
        <v>160</v>
      </c>
      <c r="B293" t="s">
        <v>109</v>
      </c>
      <c r="C293" t="s">
        <v>302</v>
      </c>
      <c r="D293">
        <v>300</v>
      </c>
      <c r="E293" s="23">
        <v>1.28966666666666E+16</v>
      </c>
      <c r="F293" t="s">
        <v>615</v>
      </c>
    </row>
    <row r="294" spans="1:6" hidden="1" x14ac:dyDescent="0.25">
      <c r="A294" t="s">
        <v>160</v>
      </c>
      <c r="B294" t="s">
        <v>109</v>
      </c>
      <c r="C294" t="s">
        <v>303</v>
      </c>
      <c r="D294">
        <v>500</v>
      </c>
      <c r="E294" s="23">
        <v>1.37535294117647E+16</v>
      </c>
      <c r="F294" t="s">
        <v>615</v>
      </c>
    </row>
    <row r="295" spans="1:6" hidden="1" x14ac:dyDescent="0.25">
      <c r="A295" t="s">
        <v>160</v>
      </c>
      <c r="B295" t="s">
        <v>109</v>
      </c>
      <c r="C295" t="s">
        <v>304</v>
      </c>
      <c r="D295">
        <v>700</v>
      </c>
      <c r="E295" t="s">
        <v>786</v>
      </c>
      <c r="F295" t="s">
        <v>615</v>
      </c>
    </row>
    <row r="296" spans="1:6" hidden="1" x14ac:dyDescent="0.25">
      <c r="A296" t="s">
        <v>160</v>
      </c>
      <c r="B296" t="s">
        <v>109</v>
      </c>
      <c r="C296" t="s">
        <v>305</v>
      </c>
      <c r="D296">
        <v>800</v>
      </c>
      <c r="E296" t="s">
        <v>787</v>
      </c>
      <c r="F296" t="s">
        <v>615</v>
      </c>
    </row>
    <row r="297" spans="1:6" hidden="1" x14ac:dyDescent="0.25">
      <c r="A297" t="s">
        <v>160</v>
      </c>
      <c r="B297" t="s">
        <v>109</v>
      </c>
      <c r="C297" t="s">
        <v>306</v>
      </c>
      <c r="D297">
        <v>1000</v>
      </c>
      <c r="E297" t="s">
        <v>781</v>
      </c>
      <c r="F297" t="s">
        <v>615</v>
      </c>
    </row>
    <row r="298" spans="1:6" hidden="1" x14ac:dyDescent="0.25">
      <c r="A298" t="s">
        <v>160</v>
      </c>
      <c r="B298" t="s">
        <v>109</v>
      </c>
      <c r="C298" t="s">
        <v>307</v>
      </c>
      <c r="D298">
        <v>300</v>
      </c>
      <c r="E298" s="23">
        <v>1.22163636363636E+16</v>
      </c>
      <c r="F298" t="s">
        <v>615</v>
      </c>
    </row>
    <row r="299" spans="1:6" hidden="1" x14ac:dyDescent="0.25">
      <c r="A299" t="s">
        <v>160</v>
      </c>
      <c r="B299" t="s">
        <v>109</v>
      </c>
      <c r="C299" t="s">
        <v>308</v>
      </c>
      <c r="D299">
        <v>500</v>
      </c>
      <c r="E299" s="23">
        <v>1.57795652173913E+16</v>
      </c>
      <c r="F299" t="s">
        <v>615</v>
      </c>
    </row>
    <row r="300" spans="1:6" hidden="1" x14ac:dyDescent="0.25">
      <c r="A300" t="s">
        <v>160</v>
      </c>
      <c r="B300" t="s">
        <v>109</v>
      </c>
      <c r="C300" t="s">
        <v>309</v>
      </c>
      <c r="D300">
        <v>700</v>
      </c>
      <c r="E300" t="s">
        <v>677</v>
      </c>
      <c r="F300" t="s">
        <v>615</v>
      </c>
    </row>
    <row r="301" spans="1:6" hidden="1" x14ac:dyDescent="0.25">
      <c r="A301" t="s">
        <v>160</v>
      </c>
      <c r="B301" t="s">
        <v>109</v>
      </c>
      <c r="C301" t="s">
        <v>310</v>
      </c>
      <c r="D301">
        <v>800</v>
      </c>
      <c r="E301" t="s">
        <v>755</v>
      </c>
      <c r="F301" t="s">
        <v>615</v>
      </c>
    </row>
    <row r="302" spans="1:6" hidden="1" x14ac:dyDescent="0.25">
      <c r="A302" t="s">
        <v>311</v>
      </c>
      <c r="B302" t="s">
        <v>7</v>
      </c>
      <c r="C302" t="s">
        <v>312</v>
      </c>
      <c r="D302">
        <v>1000</v>
      </c>
      <c r="E302" t="s">
        <v>788</v>
      </c>
      <c r="F302" t="s">
        <v>615</v>
      </c>
    </row>
    <row r="303" spans="1:6" hidden="1" x14ac:dyDescent="0.25">
      <c r="A303" t="s">
        <v>311</v>
      </c>
      <c r="B303" t="s">
        <v>7</v>
      </c>
      <c r="C303" t="s">
        <v>313</v>
      </c>
      <c r="D303">
        <v>300</v>
      </c>
      <c r="E303" s="23">
        <v>1.35936363636363E+16</v>
      </c>
      <c r="F303" t="s">
        <v>615</v>
      </c>
    </row>
    <row r="304" spans="1:6" hidden="1" x14ac:dyDescent="0.25">
      <c r="A304" t="s">
        <v>311</v>
      </c>
      <c r="B304" t="s">
        <v>7</v>
      </c>
      <c r="C304" t="s">
        <v>314</v>
      </c>
      <c r="D304">
        <v>500</v>
      </c>
      <c r="E304" t="s">
        <v>789</v>
      </c>
      <c r="F304" t="s">
        <v>615</v>
      </c>
    </row>
    <row r="305" spans="1:6" hidden="1" x14ac:dyDescent="0.25">
      <c r="A305" t="s">
        <v>311</v>
      </c>
      <c r="B305" t="s">
        <v>7</v>
      </c>
      <c r="C305" t="s">
        <v>315</v>
      </c>
      <c r="D305">
        <v>700</v>
      </c>
      <c r="E305" t="s">
        <v>790</v>
      </c>
      <c r="F305" t="s">
        <v>615</v>
      </c>
    </row>
    <row r="306" spans="1:6" hidden="1" x14ac:dyDescent="0.25">
      <c r="A306" t="s">
        <v>311</v>
      </c>
      <c r="B306" t="s">
        <v>7</v>
      </c>
      <c r="C306" t="s">
        <v>316</v>
      </c>
      <c r="D306">
        <v>800</v>
      </c>
      <c r="E306" s="23">
        <v>3550909090909090</v>
      </c>
      <c r="F306" t="s">
        <v>615</v>
      </c>
    </row>
    <row r="307" spans="1:6" hidden="1" x14ac:dyDescent="0.25">
      <c r="A307" t="s">
        <v>311</v>
      </c>
      <c r="B307" t="s">
        <v>7</v>
      </c>
      <c r="C307" t="s">
        <v>317</v>
      </c>
      <c r="D307">
        <v>1000</v>
      </c>
      <c r="E307" t="s">
        <v>791</v>
      </c>
      <c r="F307" t="s">
        <v>615</v>
      </c>
    </row>
    <row r="308" spans="1:6" hidden="1" x14ac:dyDescent="0.25">
      <c r="A308" t="s">
        <v>311</v>
      </c>
      <c r="B308" t="s">
        <v>7</v>
      </c>
      <c r="C308" t="s">
        <v>318</v>
      </c>
      <c r="D308">
        <v>300</v>
      </c>
      <c r="E308" s="23">
        <v>1.23136363636363E+16</v>
      </c>
      <c r="F308" t="s">
        <v>615</v>
      </c>
    </row>
    <row r="309" spans="1:6" hidden="1" x14ac:dyDescent="0.25">
      <c r="A309" t="s">
        <v>311</v>
      </c>
      <c r="B309" t="s">
        <v>7</v>
      </c>
      <c r="C309" t="s">
        <v>319</v>
      </c>
      <c r="D309">
        <v>500</v>
      </c>
      <c r="E309" s="23">
        <v>2166090909090900</v>
      </c>
      <c r="F309" t="s">
        <v>615</v>
      </c>
    </row>
    <row r="310" spans="1:6" hidden="1" x14ac:dyDescent="0.25">
      <c r="A310" t="s">
        <v>311</v>
      </c>
      <c r="B310" t="s">
        <v>7</v>
      </c>
      <c r="C310" t="s">
        <v>320</v>
      </c>
      <c r="D310">
        <v>700</v>
      </c>
      <c r="E310" s="23">
        <v>3055727272727270</v>
      </c>
      <c r="F310" t="s">
        <v>615</v>
      </c>
    </row>
    <row r="311" spans="1:6" hidden="1" x14ac:dyDescent="0.25">
      <c r="A311" t="s">
        <v>311</v>
      </c>
      <c r="B311" t="s">
        <v>7</v>
      </c>
      <c r="C311" t="s">
        <v>321</v>
      </c>
      <c r="D311">
        <v>800</v>
      </c>
      <c r="E311" t="s">
        <v>792</v>
      </c>
      <c r="F311" t="s">
        <v>615</v>
      </c>
    </row>
    <row r="312" spans="1:6" hidden="1" x14ac:dyDescent="0.25">
      <c r="A312" t="s">
        <v>311</v>
      </c>
      <c r="B312" t="s">
        <v>7</v>
      </c>
      <c r="C312" t="s">
        <v>322</v>
      </c>
      <c r="D312">
        <v>1000</v>
      </c>
      <c r="E312" s="23">
        <v>4280166666666660</v>
      </c>
      <c r="F312" t="s">
        <v>615</v>
      </c>
    </row>
    <row r="313" spans="1:6" hidden="1" x14ac:dyDescent="0.25">
      <c r="A313" t="s">
        <v>311</v>
      </c>
      <c r="B313" t="s">
        <v>7</v>
      </c>
      <c r="C313" t="s">
        <v>323</v>
      </c>
      <c r="D313">
        <v>300</v>
      </c>
      <c r="E313" t="s">
        <v>793</v>
      </c>
      <c r="F313" t="s">
        <v>615</v>
      </c>
    </row>
    <row r="314" spans="1:6" hidden="1" x14ac:dyDescent="0.25">
      <c r="A314" t="s">
        <v>311</v>
      </c>
      <c r="B314" t="s">
        <v>7</v>
      </c>
      <c r="C314" t="s">
        <v>324</v>
      </c>
      <c r="D314">
        <v>500</v>
      </c>
      <c r="E314" s="23">
        <v>2231181818181810</v>
      </c>
      <c r="F314" t="s">
        <v>615</v>
      </c>
    </row>
    <row r="315" spans="1:6" hidden="1" x14ac:dyDescent="0.25">
      <c r="A315" t="s">
        <v>311</v>
      </c>
      <c r="B315" t="s">
        <v>7</v>
      </c>
      <c r="C315" t="s">
        <v>325</v>
      </c>
      <c r="D315">
        <v>700</v>
      </c>
      <c r="E315" s="23">
        <v>2.99345454545454E+16</v>
      </c>
      <c r="F315" t="s">
        <v>615</v>
      </c>
    </row>
    <row r="316" spans="1:6" hidden="1" x14ac:dyDescent="0.25">
      <c r="A316" t="s">
        <v>311</v>
      </c>
      <c r="B316" t="s">
        <v>7</v>
      </c>
      <c r="C316" t="s">
        <v>326</v>
      </c>
      <c r="D316">
        <v>800</v>
      </c>
      <c r="E316" s="23">
        <v>3.49983333333333E+16</v>
      </c>
      <c r="F316" t="s">
        <v>615</v>
      </c>
    </row>
    <row r="317" spans="1:6" hidden="1" x14ac:dyDescent="0.25">
      <c r="A317" t="s">
        <v>311</v>
      </c>
      <c r="B317" t="s">
        <v>7</v>
      </c>
      <c r="C317" t="s">
        <v>327</v>
      </c>
      <c r="D317">
        <v>1000</v>
      </c>
      <c r="E317" t="s">
        <v>794</v>
      </c>
      <c r="F317" t="s">
        <v>615</v>
      </c>
    </row>
    <row r="318" spans="1:6" hidden="1" x14ac:dyDescent="0.25">
      <c r="A318" t="s">
        <v>311</v>
      </c>
      <c r="B318" t="s">
        <v>7</v>
      </c>
      <c r="C318" t="s">
        <v>328</v>
      </c>
      <c r="D318">
        <v>300</v>
      </c>
      <c r="E318" s="23">
        <v>1.30863636363636E+16</v>
      </c>
      <c r="F318" t="s">
        <v>615</v>
      </c>
    </row>
    <row r="319" spans="1:6" hidden="1" x14ac:dyDescent="0.25">
      <c r="A319" t="s">
        <v>311</v>
      </c>
      <c r="B319" t="s">
        <v>7</v>
      </c>
      <c r="C319" t="s">
        <v>329</v>
      </c>
      <c r="D319">
        <v>500</v>
      </c>
      <c r="E319" s="23">
        <v>2190272727272720</v>
      </c>
      <c r="F319" t="s">
        <v>615</v>
      </c>
    </row>
    <row r="320" spans="1:6" hidden="1" x14ac:dyDescent="0.25">
      <c r="A320" t="s">
        <v>311</v>
      </c>
      <c r="B320" t="s">
        <v>7</v>
      </c>
      <c r="C320" t="s">
        <v>330</v>
      </c>
      <c r="D320">
        <v>700</v>
      </c>
      <c r="E320" t="s">
        <v>795</v>
      </c>
      <c r="F320" t="s">
        <v>615</v>
      </c>
    </row>
    <row r="321" spans="1:6" hidden="1" x14ac:dyDescent="0.25">
      <c r="A321" t="s">
        <v>311</v>
      </c>
      <c r="B321" t="s">
        <v>7</v>
      </c>
      <c r="C321" t="s">
        <v>331</v>
      </c>
      <c r="D321">
        <v>800</v>
      </c>
      <c r="E321" s="23">
        <v>3.52566666666666E+16</v>
      </c>
      <c r="F321" t="s">
        <v>615</v>
      </c>
    </row>
    <row r="322" spans="1:6" hidden="1" x14ac:dyDescent="0.25">
      <c r="A322" t="s">
        <v>311</v>
      </c>
      <c r="B322" t="s">
        <v>7</v>
      </c>
      <c r="C322" t="s">
        <v>332</v>
      </c>
      <c r="D322">
        <v>1000</v>
      </c>
      <c r="E322" s="23">
        <v>4424545454545450</v>
      </c>
      <c r="F322" t="s">
        <v>615</v>
      </c>
    </row>
    <row r="323" spans="1:6" hidden="1" x14ac:dyDescent="0.25">
      <c r="A323" t="s">
        <v>311</v>
      </c>
      <c r="B323" t="s">
        <v>7</v>
      </c>
      <c r="C323" t="s">
        <v>333</v>
      </c>
      <c r="D323">
        <v>300</v>
      </c>
      <c r="E323" s="23">
        <v>1.28881818181818E+16</v>
      </c>
      <c r="F323" t="s">
        <v>615</v>
      </c>
    </row>
    <row r="324" spans="1:6" hidden="1" x14ac:dyDescent="0.25">
      <c r="A324" t="s">
        <v>311</v>
      </c>
      <c r="B324" t="s">
        <v>7</v>
      </c>
      <c r="C324" t="s">
        <v>334</v>
      </c>
      <c r="D324">
        <v>500</v>
      </c>
      <c r="E324" s="23">
        <v>2.22036363636363E+16</v>
      </c>
      <c r="F324" t="s">
        <v>615</v>
      </c>
    </row>
    <row r="325" spans="1:6" hidden="1" x14ac:dyDescent="0.25">
      <c r="A325" t="s">
        <v>311</v>
      </c>
      <c r="B325" t="s">
        <v>7</v>
      </c>
      <c r="C325" t="s">
        <v>335</v>
      </c>
      <c r="D325">
        <v>700</v>
      </c>
      <c r="E325" s="23">
        <v>3057166666666660</v>
      </c>
      <c r="F325" t="s">
        <v>615</v>
      </c>
    </row>
    <row r="326" spans="1:6" hidden="1" x14ac:dyDescent="0.25">
      <c r="A326" t="s">
        <v>311</v>
      </c>
      <c r="B326" t="s">
        <v>7</v>
      </c>
      <c r="C326" t="s">
        <v>336</v>
      </c>
      <c r="D326">
        <v>800</v>
      </c>
      <c r="E326" t="s">
        <v>796</v>
      </c>
      <c r="F326" t="s">
        <v>615</v>
      </c>
    </row>
    <row r="327" spans="1:6" hidden="1" x14ac:dyDescent="0.25">
      <c r="A327" t="s">
        <v>311</v>
      </c>
      <c r="B327" t="s">
        <v>7</v>
      </c>
      <c r="C327" t="s">
        <v>337</v>
      </c>
      <c r="D327">
        <v>1000</v>
      </c>
      <c r="E327" t="s">
        <v>797</v>
      </c>
      <c r="F327" t="s">
        <v>615</v>
      </c>
    </row>
    <row r="328" spans="1:6" hidden="1" x14ac:dyDescent="0.25">
      <c r="A328" t="s">
        <v>311</v>
      </c>
      <c r="B328" t="s">
        <v>7</v>
      </c>
      <c r="C328" t="s">
        <v>338</v>
      </c>
      <c r="D328">
        <v>300</v>
      </c>
      <c r="E328" t="s">
        <v>798</v>
      </c>
      <c r="F328" t="s">
        <v>615</v>
      </c>
    </row>
    <row r="329" spans="1:6" hidden="1" x14ac:dyDescent="0.25">
      <c r="A329" t="s">
        <v>311</v>
      </c>
      <c r="B329" t="s">
        <v>7</v>
      </c>
      <c r="C329" t="s">
        <v>339</v>
      </c>
      <c r="D329">
        <v>500</v>
      </c>
      <c r="E329" t="s">
        <v>658</v>
      </c>
      <c r="F329" t="s">
        <v>615</v>
      </c>
    </row>
    <row r="330" spans="1:6" hidden="1" x14ac:dyDescent="0.25">
      <c r="A330" t="s">
        <v>311</v>
      </c>
      <c r="B330" t="s">
        <v>7</v>
      </c>
      <c r="C330" t="s">
        <v>340</v>
      </c>
      <c r="D330">
        <v>700</v>
      </c>
      <c r="E330" s="23">
        <v>2992833333333330</v>
      </c>
      <c r="F330" t="s">
        <v>615</v>
      </c>
    </row>
    <row r="331" spans="1:6" hidden="1" x14ac:dyDescent="0.25">
      <c r="A331" t="s">
        <v>311</v>
      </c>
      <c r="B331" t="s">
        <v>7</v>
      </c>
      <c r="C331" t="s">
        <v>341</v>
      </c>
      <c r="D331">
        <v>800</v>
      </c>
      <c r="E331" t="s">
        <v>799</v>
      </c>
      <c r="F331" t="s">
        <v>615</v>
      </c>
    </row>
    <row r="332" spans="1:6" hidden="1" x14ac:dyDescent="0.25">
      <c r="A332" t="s">
        <v>311</v>
      </c>
      <c r="B332" t="s">
        <v>7</v>
      </c>
      <c r="C332" t="s">
        <v>342</v>
      </c>
      <c r="D332">
        <v>1000</v>
      </c>
      <c r="E332" t="s">
        <v>800</v>
      </c>
      <c r="F332" t="s">
        <v>615</v>
      </c>
    </row>
    <row r="333" spans="1:6" hidden="1" x14ac:dyDescent="0.25">
      <c r="A333" t="s">
        <v>311</v>
      </c>
      <c r="B333" t="s">
        <v>7</v>
      </c>
      <c r="C333" t="s">
        <v>343</v>
      </c>
      <c r="D333">
        <v>300</v>
      </c>
      <c r="E333" s="23">
        <v>1.25966666666666E+16</v>
      </c>
      <c r="F333" t="s">
        <v>615</v>
      </c>
    </row>
    <row r="334" spans="1:6" hidden="1" x14ac:dyDescent="0.25">
      <c r="A334" t="s">
        <v>311</v>
      </c>
      <c r="B334" t="s">
        <v>7</v>
      </c>
      <c r="C334" t="s">
        <v>344</v>
      </c>
      <c r="D334">
        <v>500</v>
      </c>
      <c r="E334" s="23">
        <v>2113727272727270</v>
      </c>
      <c r="F334" t="s">
        <v>615</v>
      </c>
    </row>
    <row r="335" spans="1:6" hidden="1" x14ac:dyDescent="0.25">
      <c r="A335" t="s">
        <v>311</v>
      </c>
      <c r="B335" t="s">
        <v>7</v>
      </c>
      <c r="C335" t="s">
        <v>345</v>
      </c>
      <c r="D335">
        <v>700</v>
      </c>
      <c r="E335" s="23">
        <v>3.00166666666666E+16</v>
      </c>
      <c r="F335" t="s">
        <v>615</v>
      </c>
    </row>
    <row r="336" spans="1:6" hidden="1" x14ac:dyDescent="0.25">
      <c r="A336" t="s">
        <v>311</v>
      </c>
      <c r="B336" t="s">
        <v>7</v>
      </c>
      <c r="C336" t="s">
        <v>346</v>
      </c>
      <c r="D336">
        <v>800</v>
      </c>
      <c r="E336" s="23">
        <v>3486363636363630</v>
      </c>
      <c r="F336" t="s">
        <v>615</v>
      </c>
    </row>
    <row r="337" spans="1:6" hidden="1" x14ac:dyDescent="0.25">
      <c r="A337" t="s">
        <v>311</v>
      </c>
      <c r="B337" t="s">
        <v>7</v>
      </c>
      <c r="C337" t="s">
        <v>347</v>
      </c>
      <c r="D337">
        <v>1000</v>
      </c>
      <c r="E337" s="23">
        <v>4393636363636360</v>
      </c>
      <c r="F337" t="s">
        <v>615</v>
      </c>
    </row>
    <row r="338" spans="1:6" hidden="1" x14ac:dyDescent="0.25">
      <c r="A338" t="s">
        <v>311</v>
      </c>
      <c r="B338" t="s">
        <v>7</v>
      </c>
      <c r="C338" t="s">
        <v>348</v>
      </c>
      <c r="D338">
        <v>300</v>
      </c>
      <c r="E338" s="23">
        <v>1.32066666666666E+16</v>
      </c>
      <c r="F338" t="s">
        <v>615</v>
      </c>
    </row>
    <row r="339" spans="1:6" hidden="1" x14ac:dyDescent="0.25">
      <c r="A339" t="s">
        <v>311</v>
      </c>
      <c r="B339" t="s">
        <v>7</v>
      </c>
      <c r="C339" t="s">
        <v>349</v>
      </c>
      <c r="D339">
        <v>500</v>
      </c>
      <c r="E339" s="23">
        <v>2.15983333333333E+16</v>
      </c>
      <c r="F339" t="s">
        <v>615</v>
      </c>
    </row>
    <row r="340" spans="1:6" hidden="1" x14ac:dyDescent="0.25">
      <c r="A340" t="s">
        <v>311</v>
      </c>
      <c r="B340" t="s">
        <v>7</v>
      </c>
      <c r="C340" t="s">
        <v>350</v>
      </c>
      <c r="D340">
        <v>700</v>
      </c>
      <c r="E340" t="s">
        <v>801</v>
      </c>
      <c r="F340" t="s">
        <v>615</v>
      </c>
    </row>
    <row r="341" spans="1:6" hidden="1" x14ac:dyDescent="0.25">
      <c r="A341" t="s">
        <v>311</v>
      </c>
      <c r="B341" t="s">
        <v>7</v>
      </c>
      <c r="C341" t="s">
        <v>351</v>
      </c>
      <c r="D341">
        <v>800</v>
      </c>
      <c r="E341" t="s">
        <v>802</v>
      </c>
      <c r="F341" t="s">
        <v>615</v>
      </c>
    </row>
    <row r="342" spans="1:6" hidden="1" x14ac:dyDescent="0.25">
      <c r="A342" t="s">
        <v>311</v>
      </c>
      <c r="B342" t="s">
        <v>7</v>
      </c>
      <c r="C342" t="s">
        <v>352</v>
      </c>
      <c r="D342">
        <v>1000</v>
      </c>
      <c r="E342" s="23">
        <v>4374363636363630</v>
      </c>
      <c r="F342" t="s">
        <v>615</v>
      </c>
    </row>
    <row r="343" spans="1:6" hidden="1" x14ac:dyDescent="0.25">
      <c r="A343" t="s">
        <v>311</v>
      </c>
      <c r="B343" t="s">
        <v>7</v>
      </c>
      <c r="C343" t="s">
        <v>353</v>
      </c>
      <c r="D343">
        <v>300</v>
      </c>
      <c r="E343" s="23">
        <v>1.36181818181818E+16</v>
      </c>
      <c r="F343" t="s">
        <v>615</v>
      </c>
    </row>
    <row r="344" spans="1:6" hidden="1" x14ac:dyDescent="0.25">
      <c r="A344" t="s">
        <v>311</v>
      </c>
      <c r="B344" t="s">
        <v>7</v>
      </c>
      <c r="C344" t="s">
        <v>354</v>
      </c>
      <c r="D344">
        <v>500</v>
      </c>
      <c r="E344" s="23">
        <v>2282090909090900</v>
      </c>
      <c r="F344" t="s">
        <v>615</v>
      </c>
    </row>
    <row r="345" spans="1:6" hidden="1" x14ac:dyDescent="0.25">
      <c r="A345" t="s">
        <v>311</v>
      </c>
      <c r="B345" t="s">
        <v>7</v>
      </c>
      <c r="C345" t="s">
        <v>355</v>
      </c>
      <c r="D345">
        <v>700</v>
      </c>
      <c r="E345" t="s">
        <v>803</v>
      </c>
      <c r="F345" t="s">
        <v>615</v>
      </c>
    </row>
    <row r="346" spans="1:6" hidden="1" x14ac:dyDescent="0.25">
      <c r="A346" t="s">
        <v>311</v>
      </c>
      <c r="B346" t="s">
        <v>7</v>
      </c>
      <c r="C346" t="s">
        <v>356</v>
      </c>
      <c r="D346">
        <v>800</v>
      </c>
      <c r="E346" s="23">
        <v>3504909090909090</v>
      </c>
      <c r="F346" t="s">
        <v>615</v>
      </c>
    </row>
    <row r="347" spans="1:6" hidden="1" x14ac:dyDescent="0.25">
      <c r="A347" t="s">
        <v>311</v>
      </c>
      <c r="B347" t="s">
        <v>7</v>
      </c>
      <c r="C347" t="s">
        <v>357</v>
      </c>
      <c r="D347">
        <v>1000</v>
      </c>
      <c r="E347" t="s">
        <v>804</v>
      </c>
      <c r="F347" t="s">
        <v>615</v>
      </c>
    </row>
    <row r="348" spans="1:6" hidden="1" x14ac:dyDescent="0.25">
      <c r="A348" t="s">
        <v>311</v>
      </c>
      <c r="B348" t="s">
        <v>7</v>
      </c>
      <c r="C348" t="s">
        <v>358</v>
      </c>
      <c r="D348">
        <v>300</v>
      </c>
      <c r="E348" t="s">
        <v>805</v>
      </c>
      <c r="F348" t="s">
        <v>615</v>
      </c>
    </row>
    <row r="349" spans="1:6" hidden="1" x14ac:dyDescent="0.25">
      <c r="A349" t="s">
        <v>311</v>
      </c>
      <c r="B349" t="s">
        <v>7</v>
      </c>
      <c r="C349" t="s">
        <v>359</v>
      </c>
      <c r="D349">
        <v>500</v>
      </c>
      <c r="E349" t="s">
        <v>806</v>
      </c>
      <c r="F349" t="s">
        <v>615</v>
      </c>
    </row>
    <row r="350" spans="1:6" hidden="1" x14ac:dyDescent="0.25">
      <c r="A350" t="s">
        <v>311</v>
      </c>
      <c r="B350" t="s">
        <v>7</v>
      </c>
      <c r="C350" t="s">
        <v>360</v>
      </c>
      <c r="D350">
        <v>700</v>
      </c>
      <c r="E350" s="23">
        <v>3.12566666666666E+16</v>
      </c>
      <c r="F350" t="s">
        <v>615</v>
      </c>
    </row>
    <row r="351" spans="1:6" hidden="1" x14ac:dyDescent="0.25">
      <c r="A351" t="s">
        <v>311</v>
      </c>
      <c r="B351" t="s">
        <v>7</v>
      </c>
      <c r="C351" t="s">
        <v>361</v>
      </c>
      <c r="D351">
        <v>800</v>
      </c>
      <c r="E351" s="23">
        <v>3.51555555555555E+16</v>
      </c>
      <c r="F351" t="s">
        <v>615</v>
      </c>
    </row>
    <row r="352" spans="1:6" hidden="1" x14ac:dyDescent="0.25">
      <c r="A352" t="s">
        <v>311</v>
      </c>
      <c r="B352" t="s">
        <v>58</v>
      </c>
      <c r="C352" t="s">
        <v>362</v>
      </c>
      <c r="D352">
        <v>1000</v>
      </c>
      <c r="E352" s="23">
        <v>4401909090909090</v>
      </c>
      <c r="F352" t="s">
        <v>615</v>
      </c>
    </row>
    <row r="353" spans="1:6" hidden="1" x14ac:dyDescent="0.25">
      <c r="A353" t="s">
        <v>311</v>
      </c>
      <c r="B353" t="s">
        <v>58</v>
      </c>
      <c r="C353" t="s">
        <v>363</v>
      </c>
      <c r="D353">
        <v>300</v>
      </c>
      <c r="E353" s="23">
        <v>1.29827272727272E+16</v>
      </c>
      <c r="F353" t="s">
        <v>615</v>
      </c>
    </row>
    <row r="354" spans="1:6" hidden="1" x14ac:dyDescent="0.25">
      <c r="A354" t="s">
        <v>311</v>
      </c>
      <c r="B354" t="s">
        <v>58</v>
      </c>
      <c r="C354" t="s">
        <v>364</v>
      </c>
      <c r="D354">
        <v>500</v>
      </c>
      <c r="E354" t="s">
        <v>807</v>
      </c>
      <c r="F354" t="s">
        <v>615</v>
      </c>
    </row>
    <row r="355" spans="1:6" hidden="1" x14ac:dyDescent="0.25">
      <c r="A355" t="s">
        <v>311</v>
      </c>
      <c r="B355" t="s">
        <v>58</v>
      </c>
      <c r="C355" t="s">
        <v>365</v>
      </c>
      <c r="D355">
        <v>700</v>
      </c>
      <c r="E355" t="s">
        <v>808</v>
      </c>
      <c r="F355" t="s">
        <v>615</v>
      </c>
    </row>
    <row r="356" spans="1:6" hidden="1" x14ac:dyDescent="0.25">
      <c r="A356" t="s">
        <v>311</v>
      </c>
      <c r="B356" t="s">
        <v>58</v>
      </c>
      <c r="C356" t="s">
        <v>366</v>
      </c>
      <c r="D356">
        <v>800</v>
      </c>
      <c r="E356" s="23">
        <v>3452272727272720</v>
      </c>
      <c r="F356" t="s">
        <v>615</v>
      </c>
    </row>
    <row r="357" spans="1:6" hidden="1" x14ac:dyDescent="0.25">
      <c r="A357" t="s">
        <v>311</v>
      </c>
      <c r="B357" t="s">
        <v>58</v>
      </c>
      <c r="C357" t="s">
        <v>367</v>
      </c>
      <c r="D357">
        <v>1000</v>
      </c>
      <c r="E357" s="23">
        <v>4428363636363630</v>
      </c>
      <c r="F357" t="s">
        <v>615</v>
      </c>
    </row>
    <row r="358" spans="1:6" hidden="1" x14ac:dyDescent="0.25">
      <c r="A358" t="s">
        <v>311</v>
      </c>
      <c r="B358" t="s">
        <v>58</v>
      </c>
      <c r="C358" t="s">
        <v>368</v>
      </c>
      <c r="D358">
        <v>300</v>
      </c>
      <c r="E358" s="23">
        <v>1.24616666666666E+16</v>
      </c>
      <c r="F358" t="s">
        <v>615</v>
      </c>
    </row>
    <row r="359" spans="1:6" hidden="1" x14ac:dyDescent="0.25">
      <c r="A359" t="s">
        <v>311</v>
      </c>
      <c r="B359" t="s">
        <v>58</v>
      </c>
      <c r="C359" t="s">
        <v>369</v>
      </c>
      <c r="D359">
        <v>500</v>
      </c>
      <c r="E359" s="23">
        <v>2.20916666666666E+16</v>
      </c>
      <c r="F359" t="s">
        <v>615</v>
      </c>
    </row>
    <row r="360" spans="1:6" hidden="1" x14ac:dyDescent="0.25">
      <c r="A360" t="s">
        <v>311</v>
      </c>
      <c r="B360" t="s">
        <v>58</v>
      </c>
      <c r="C360" t="s">
        <v>370</v>
      </c>
      <c r="D360">
        <v>700</v>
      </c>
      <c r="E360" s="23">
        <v>3162833333333330</v>
      </c>
      <c r="F360" t="s">
        <v>615</v>
      </c>
    </row>
    <row r="361" spans="1:6" hidden="1" x14ac:dyDescent="0.25">
      <c r="A361" t="s">
        <v>311</v>
      </c>
      <c r="B361" t="s">
        <v>58</v>
      </c>
      <c r="C361" t="s">
        <v>371</v>
      </c>
      <c r="D361">
        <v>800</v>
      </c>
      <c r="E361" s="23">
        <v>3573909090909090</v>
      </c>
      <c r="F361" t="s">
        <v>615</v>
      </c>
    </row>
    <row r="362" spans="1:6" hidden="1" x14ac:dyDescent="0.25">
      <c r="A362" t="s">
        <v>311</v>
      </c>
      <c r="B362" t="s">
        <v>58</v>
      </c>
      <c r="C362" t="s">
        <v>372</v>
      </c>
      <c r="D362">
        <v>1000</v>
      </c>
      <c r="E362" s="23">
        <v>4382666666666660</v>
      </c>
      <c r="F362" t="s">
        <v>615</v>
      </c>
    </row>
    <row r="363" spans="1:6" hidden="1" x14ac:dyDescent="0.25">
      <c r="A363" t="s">
        <v>311</v>
      </c>
      <c r="B363" t="s">
        <v>58</v>
      </c>
      <c r="C363" t="s">
        <v>373</v>
      </c>
      <c r="D363">
        <v>300</v>
      </c>
      <c r="E363" s="23">
        <v>1342090909090900</v>
      </c>
      <c r="F363" t="s">
        <v>615</v>
      </c>
    </row>
    <row r="364" spans="1:6" hidden="1" x14ac:dyDescent="0.25">
      <c r="A364" t="s">
        <v>311</v>
      </c>
      <c r="B364" t="s">
        <v>58</v>
      </c>
      <c r="C364" t="s">
        <v>374</v>
      </c>
      <c r="D364">
        <v>500</v>
      </c>
      <c r="E364" s="23">
        <v>2.26863636363636E+16</v>
      </c>
      <c r="F364" t="s">
        <v>615</v>
      </c>
    </row>
    <row r="365" spans="1:6" hidden="1" x14ac:dyDescent="0.25">
      <c r="A365" t="s">
        <v>311</v>
      </c>
      <c r="B365" t="s">
        <v>58</v>
      </c>
      <c r="C365" t="s">
        <v>375</v>
      </c>
      <c r="D365">
        <v>700</v>
      </c>
      <c r="E365" s="23">
        <v>3.03854545454545E+16</v>
      </c>
      <c r="F365" t="s">
        <v>615</v>
      </c>
    </row>
    <row r="366" spans="1:6" hidden="1" x14ac:dyDescent="0.25">
      <c r="A366" t="s">
        <v>311</v>
      </c>
      <c r="B366" t="s">
        <v>58</v>
      </c>
      <c r="C366" t="s">
        <v>376</v>
      </c>
      <c r="D366">
        <v>800</v>
      </c>
      <c r="E366" s="23">
        <v>3521090909090900</v>
      </c>
      <c r="F366" t="s">
        <v>615</v>
      </c>
    </row>
    <row r="367" spans="1:6" hidden="1" x14ac:dyDescent="0.25">
      <c r="A367" t="s">
        <v>311</v>
      </c>
      <c r="B367" t="s">
        <v>58</v>
      </c>
      <c r="C367" t="s">
        <v>377</v>
      </c>
      <c r="D367">
        <v>1000</v>
      </c>
      <c r="E367" s="23">
        <v>4565363636363630</v>
      </c>
      <c r="F367" t="s">
        <v>615</v>
      </c>
    </row>
    <row r="368" spans="1:6" hidden="1" x14ac:dyDescent="0.25">
      <c r="A368" t="s">
        <v>311</v>
      </c>
      <c r="B368" t="s">
        <v>58</v>
      </c>
      <c r="C368" t="s">
        <v>378</v>
      </c>
      <c r="D368">
        <v>300</v>
      </c>
      <c r="E368" s="23">
        <v>1.30333333333333E+16</v>
      </c>
      <c r="F368" t="s">
        <v>615</v>
      </c>
    </row>
    <row r="369" spans="1:6" hidden="1" x14ac:dyDescent="0.25">
      <c r="A369" t="s">
        <v>311</v>
      </c>
      <c r="B369" t="s">
        <v>58</v>
      </c>
      <c r="C369" t="s">
        <v>379</v>
      </c>
      <c r="D369">
        <v>500</v>
      </c>
      <c r="E369" s="23">
        <v>2162375</v>
      </c>
      <c r="F369" t="s">
        <v>615</v>
      </c>
    </row>
    <row r="370" spans="1:6" hidden="1" x14ac:dyDescent="0.25">
      <c r="A370" t="s">
        <v>311</v>
      </c>
      <c r="B370" t="s">
        <v>58</v>
      </c>
      <c r="C370" t="s">
        <v>380</v>
      </c>
      <c r="D370">
        <v>700</v>
      </c>
      <c r="E370" s="23">
        <v>3058909090909090</v>
      </c>
      <c r="F370" t="s">
        <v>615</v>
      </c>
    </row>
    <row r="371" spans="1:6" hidden="1" x14ac:dyDescent="0.25">
      <c r="A371" t="s">
        <v>311</v>
      </c>
      <c r="B371" t="s">
        <v>58</v>
      </c>
      <c r="C371" t="s">
        <v>381</v>
      </c>
      <c r="D371">
        <v>800</v>
      </c>
      <c r="E371" t="s">
        <v>809</v>
      </c>
      <c r="F371" t="s">
        <v>615</v>
      </c>
    </row>
    <row r="372" spans="1:6" hidden="1" x14ac:dyDescent="0.25">
      <c r="A372" t="s">
        <v>311</v>
      </c>
      <c r="B372" t="s">
        <v>58</v>
      </c>
      <c r="C372" t="s">
        <v>382</v>
      </c>
      <c r="D372">
        <v>1000</v>
      </c>
      <c r="E372" s="23">
        <v>4439833333333330</v>
      </c>
      <c r="F372" t="s">
        <v>615</v>
      </c>
    </row>
    <row r="373" spans="1:6" hidden="1" x14ac:dyDescent="0.25">
      <c r="A373" t="s">
        <v>311</v>
      </c>
      <c r="B373" t="s">
        <v>58</v>
      </c>
      <c r="C373" t="s">
        <v>383</v>
      </c>
      <c r="D373">
        <v>300</v>
      </c>
      <c r="E373" s="23">
        <v>1.27266666666666E+16</v>
      </c>
      <c r="F373" t="s">
        <v>615</v>
      </c>
    </row>
    <row r="374" spans="1:6" hidden="1" x14ac:dyDescent="0.25">
      <c r="A374" t="s">
        <v>311</v>
      </c>
      <c r="B374" t="s">
        <v>58</v>
      </c>
      <c r="C374" t="s">
        <v>384</v>
      </c>
      <c r="D374">
        <v>500</v>
      </c>
      <c r="E374" s="23">
        <v>2179666666666660</v>
      </c>
      <c r="F374" t="s">
        <v>615</v>
      </c>
    </row>
    <row r="375" spans="1:6" hidden="1" x14ac:dyDescent="0.25">
      <c r="A375" t="s">
        <v>311</v>
      </c>
      <c r="B375" t="s">
        <v>58</v>
      </c>
      <c r="C375" t="s">
        <v>385</v>
      </c>
      <c r="D375">
        <v>700</v>
      </c>
      <c r="E375" t="s">
        <v>810</v>
      </c>
      <c r="F375" t="s">
        <v>615</v>
      </c>
    </row>
    <row r="376" spans="1:6" hidden="1" x14ac:dyDescent="0.25">
      <c r="A376" t="s">
        <v>311</v>
      </c>
      <c r="B376" t="s">
        <v>58</v>
      </c>
      <c r="C376" t="s">
        <v>386</v>
      </c>
      <c r="D376">
        <v>800</v>
      </c>
      <c r="E376" s="23">
        <v>3.54654545454545E+16</v>
      </c>
      <c r="F376" t="s">
        <v>615</v>
      </c>
    </row>
    <row r="377" spans="1:6" hidden="1" x14ac:dyDescent="0.25">
      <c r="A377" t="s">
        <v>311</v>
      </c>
      <c r="B377" t="s">
        <v>58</v>
      </c>
      <c r="C377" t="s">
        <v>387</v>
      </c>
      <c r="D377">
        <v>1000</v>
      </c>
      <c r="E377" s="23">
        <v>4498545454545450</v>
      </c>
      <c r="F377" t="s">
        <v>615</v>
      </c>
    </row>
    <row r="378" spans="1:6" hidden="1" x14ac:dyDescent="0.25">
      <c r="A378" t="s">
        <v>311</v>
      </c>
      <c r="B378" t="s">
        <v>58</v>
      </c>
      <c r="C378" t="s">
        <v>388</v>
      </c>
      <c r="D378">
        <v>300</v>
      </c>
      <c r="E378" s="23">
        <v>1311181818181810</v>
      </c>
      <c r="F378" t="s">
        <v>615</v>
      </c>
    </row>
    <row r="379" spans="1:6" hidden="1" x14ac:dyDescent="0.25">
      <c r="A379" t="s">
        <v>311</v>
      </c>
      <c r="B379" t="s">
        <v>58</v>
      </c>
      <c r="C379" t="s">
        <v>389</v>
      </c>
      <c r="D379">
        <v>500</v>
      </c>
      <c r="E379" s="23">
        <v>2.17216666666666E+16</v>
      </c>
      <c r="F379" t="s">
        <v>615</v>
      </c>
    </row>
    <row r="380" spans="1:6" hidden="1" x14ac:dyDescent="0.25">
      <c r="A380" t="s">
        <v>311</v>
      </c>
      <c r="B380" t="s">
        <v>58</v>
      </c>
      <c r="C380" t="s">
        <v>390</v>
      </c>
      <c r="D380">
        <v>700</v>
      </c>
      <c r="E380" s="23">
        <v>3.11966666666666E+16</v>
      </c>
      <c r="F380" t="s">
        <v>615</v>
      </c>
    </row>
    <row r="381" spans="1:6" hidden="1" x14ac:dyDescent="0.25">
      <c r="A381" t="s">
        <v>311</v>
      </c>
      <c r="B381" t="s">
        <v>58</v>
      </c>
      <c r="C381" t="s">
        <v>391</v>
      </c>
      <c r="D381">
        <v>800</v>
      </c>
      <c r="E381" t="s">
        <v>811</v>
      </c>
      <c r="F381" t="s">
        <v>615</v>
      </c>
    </row>
    <row r="382" spans="1:6" hidden="1" x14ac:dyDescent="0.25">
      <c r="A382" t="s">
        <v>311</v>
      </c>
      <c r="B382" t="s">
        <v>58</v>
      </c>
      <c r="C382" t="s">
        <v>392</v>
      </c>
      <c r="D382">
        <v>1000</v>
      </c>
      <c r="E382" s="23">
        <v>4334666666666660</v>
      </c>
      <c r="F382" t="s">
        <v>615</v>
      </c>
    </row>
    <row r="383" spans="1:6" hidden="1" x14ac:dyDescent="0.25">
      <c r="A383" t="s">
        <v>311</v>
      </c>
      <c r="B383" t="s">
        <v>58</v>
      </c>
      <c r="C383" t="s">
        <v>393</v>
      </c>
      <c r="D383">
        <v>300</v>
      </c>
      <c r="E383" s="23">
        <v>1.37327272727272E+16</v>
      </c>
      <c r="F383" t="s">
        <v>615</v>
      </c>
    </row>
    <row r="384" spans="1:6" hidden="1" x14ac:dyDescent="0.25">
      <c r="A384" t="s">
        <v>311</v>
      </c>
      <c r="B384" t="s">
        <v>58</v>
      </c>
      <c r="C384" t="s">
        <v>394</v>
      </c>
      <c r="D384">
        <v>500</v>
      </c>
      <c r="E384" s="23">
        <v>2.21845454545454E+16</v>
      </c>
      <c r="F384" t="s">
        <v>615</v>
      </c>
    </row>
    <row r="385" spans="1:6" hidden="1" x14ac:dyDescent="0.25">
      <c r="A385" t="s">
        <v>311</v>
      </c>
      <c r="B385" t="s">
        <v>58</v>
      </c>
      <c r="C385" t="s">
        <v>395</v>
      </c>
      <c r="D385">
        <v>700</v>
      </c>
      <c r="E385" s="23">
        <v>3.08463636363636E+16</v>
      </c>
      <c r="F385" t="s">
        <v>615</v>
      </c>
    </row>
    <row r="386" spans="1:6" hidden="1" x14ac:dyDescent="0.25">
      <c r="A386" t="s">
        <v>311</v>
      </c>
      <c r="B386" t="s">
        <v>58</v>
      </c>
      <c r="C386" t="s">
        <v>396</v>
      </c>
      <c r="D386">
        <v>800</v>
      </c>
      <c r="E386" s="23">
        <v>3.44766666666666E+16</v>
      </c>
      <c r="F386" t="s">
        <v>615</v>
      </c>
    </row>
    <row r="387" spans="1:6" hidden="1" x14ac:dyDescent="0.25">
      <c r="A387" t="s">
        <v>311</v>
      </c>
      <c r="B387" t="s">
        <v>58</v>
      </c>
      <c r="C387" t="s">
        <v>397</v>
      </c>
      <c r="D387">
        <v>1000</v>
      </c>
      <c r="E387" s="23">
        <v>4422636363636360</v>
      </c>
      <c r="F387" t="s">
        <v>615</v>
      </c>
    </row>
    <row r="388" spans="1:6" hidden="1" x14ac:dyDescent="0.25">
      <c r="A388" t="s">
        <v>311</v>
      </c>
      <c r="B388" t="s">
        <v>58</v>
      </c>
      <c r="C388" t="s">
        <v>398</v>
      </c>
      <c r="D388">
        <v>300</v>
      </c>
      <c r="E388" s="23">
        <v>1360090909090900</v>
      </c>
      <c r="F388" t="s">
        <v>615</v>
      </c>
    </row>
    <row r="389" spans="1:6" hidden="1" x14ac:dyDescent="0.25">
      <c r="A389" t="s">
        <v>311</v>
      </c>
      <c r="B389" t="s">
        <v>58</v>
      </c>
      <c r="C389" t="s">
        <v>399</v>
      </c>
      <c r="D389">
        <v>500</v>
      </c>
      <c r="E389" t="s">
        <v>812</v>
      </c>
      <c r="F389" t="s">
        <v>615</v>
      </c>
    </row>
    <row r="390" spans="1:6" hidden="1" x14ac:dyDescent="0.25">
      <c r="A390" t="s">
        <v>311</v>
      </c>
      <c r="B390" t="s">
        <v>58</v>
      </c>
      <c r="C390" t="s">
        <v>400</v>
      </c>
      <c r="D390">
        <v>700</v>
      </c>
      <c r="E390" s="23">
        <v>3147166666666660</v>
      </c>
      <c r="F390" t="s">
        <v>615</v>
      </c>
    </row>
    <row r="391" spans="1:6" hidden="1" x14ac:dyDescent="0.25">
      <c r="A391" t="s">
        <v>311</v>
      </c>
      <c r="B391" t="s">
        <v>58</v>
      </c>
      <c r="C391" t="s">
        <v>401</v>
      </c>
      <c r="D391">
        <v>800</v>
      </c>
      <c r="E391" s="23">
        <v>3.49733333333333E+16</v>
      </c>
      <c r="F391" t="s">
        <v>615</v>
      </c>
    </row>
    <row r="392" spans="1:6" hidden="1" x14ac:dyDescent="0.25">
      <c r="A392" t="s">
        <v>311</v>
      </c>
      <c r="B392" t="s">
        <v>58</v>
      </c>
      <c r="C392" t="s">
        <v>402</v>
      </c>
      <c r="D392">
        <v>1000</v>
      </c>
      <c r="E392" s="23">
        <v>4408636363636360</v>
      </c>
      <c r="F392" t="s">
        <v>615</v>
      </c>
    </row>
    <row r="393" spans="1:6" hidden="1" x14ac:dyDescent="0.25">
      <c r="A393" t="s">
        <v>311</v>
      </c>
      <c r="B393" t="s">
        <v>58</v>
      </c>
      <c r="C393" t="s">
        <v>403</v>
      </c>
      <c r="D393">
        <v>300</v>
      </c>
      <c r="E393" s="23">
        <v>1295923076923070</v>
      </c>
      <c r="F393" t="s">
        <v>615</v>
      </c>
    </row>
    <row r="394" spans="1:6" hidden="1" x14ac:dyDescent="0.25">
      <c r="A394" t="s">
        <v>311</v>
      </c>
      <c r="B394" t="s">
        <v>58</v>
      </c>
      <c r="C394" t="s">
        <v>404</v>
      </c>
      <c r="D394">
        <v>500</v>
      </c>
      <c r="E394" s="23">
        <v>2.10554545454545E+16</v>
      </c>
      <c r="F394" t="s">
        <v>615</v>
      </c>
    </row>
    <row r="395" spans="1:6" hidden="1" x14ac:dyDescent="0.25">
      <c r="A395" t="s">
        <v>311</v>
      </c>
      <c r="B395" t="s">
        <v>58</v>
      </c>
      <c r="C395" t="s">
        <v>405</v>
      </c>
      <c r="D395">
        <v>700</v>
      </c>
      <c r="E395" s="23">
        <v>3158363636363630</v>
      </c>
      <c r="F395" t="s">
        <v>615</v>
      </c>
    </row>
    <row r="396" spans="1:6" hidden="1" x14ac:dyDescent="0.25">
      <c r="A396" t="s">
        <v>311</v>
      </c>
      <c r="B396" t="s">
        <v>58</v>
      </c>
      <c r="C396" t="s">
        <v>406</v>
      </c>
      <c r="D396">
        <v>800</v>
      </c>
      <c r="E396" t="s">
        <v>813</v>
      </c>
      <c r="F396" t="s">
        <v>615</v>
      </c>
    </row>
    <row r="397" spans="1:6" hidden="1" x14ac:dyDescent="0.25">
      <c r="A397" t="s">
        <v>311</v>
      </c>
      <c r="B397" t="s">
        <v>58</v>
      </c>
      <c r="C397" t="s">
        <v>407</v>
      </c>
      <c r="D397">
        <v>1000</v>
      </c>
      <c r="E397" s="23">
        <v>4443818181818180</v>
      </c>
      <c r="F397" t="s">
        <v>615</v>
      </c>
    </row>
    <row r="398" spans="1:6" hidden="1" x14ac:dyDescent="0.25">
      <c r="A398" t="s">
        <v>311</v>
      </c>
      <c r="B398" t="s">
        <v>58</v>
      </c>
      <c r="C398" t="s">
        <v>408</v>
      </c>
      <c r="D398">
        <v>300</v>
      </c>
      <c r="E398" s="23">
        <v>1.27033333333333E+16</v>
      </c>
      <c r="F398" t="s">
        <v>615</v>
      </c>
    </row>
    <row r="399" spans="1:6" hidden="1" x14ac:dyDescent="0.25">
      <c r="A399" t="s">
        <v>311</v>
      </c>
      <c r="B399" t="s">
        <v>58</v>
      </c>
      <c r="C399" t="s">
        <v>409</v>
      </c>
      <c r="D399">
        <v>500</v>
      </c>
      <c r="E399" s="23">
        <v>2.07254545454545E+16</v>
      </c>
      <c r="F399" t="s">
        <v>615</v>
      </c>
    </row>
    <row r="400" spans="1:6" hidden="1" x14ac:dyDescent="0.25">
      <c r="A400" t="s">
        <v>311</v>
      </c>
      <c r="B400" t="s">
        <v>58</v>
      </c>
      <c r="C400" t="s">
        <v>410</v>
      </c>
      <c r="D400">
        <v>700</v>
      </c>
      <c r="E400" s="23">
        <v>3063272727272720</v>
      </c>
      <c r="F400" t="s">
        <v>615</v>
      </c>
    </row>
    <row r="401" spans="1:6" hidden="1" x14ac:dyDescent="0.25">
      <c r="A401" t="s">
        <v>311</v>
      </c>
      <c r="B401" t="s">
        <v>58</v>
      </c>
      <c r="C401" t="s">
        <v>411</v>
      </c>
      <c r="D401">
        <v>800</v>
      </c>
      <c r="E401" t="s">
        <v>814</v>
      </c>
      <c r="F401" t="s">
        <v>615</v>
      </c>
    </row>
    <row r="402" spans="1:6" hidden="1" x14ac:dyDescent="0.25">
      <c r="A402" t="s">
        <v>311</v>
      </c>
      <c r="B402" t="s">
        <v>109</v>
      </c>
      <c r="C402" t="s">
        <v>412</v>
      </c>
      <c r="D402">
        <v>1000</v>
      </c>
      <c r="E402" s="23">
        <v>5314888888888880</v>
      </c>
      <c r="F402" t="s">
        <v>615</v>
      </c>
    </row>
    <row r="403" spans="1:6" hidden="1" x14ac:dyDescent="0.25">
      <c r="A403" t="s">
        <v>311</v>
      </c>
      <c r="B403" t="s">
        <v>109</v>
      </c>
      <c r="C403" t="s">
        <v>413</v>
      </c>
      <c r="D403">
        <v>300</v>
      </c>
      <c r="E403" t="s">
        <v>815</v>
      </c>
      <c r="F403" t="s">
        <v>615</v>
      </c>
    </row>
    <row r="404" spans="1:6" hidden="1" x14ac:dyDescent="0.25">
      <c r="A404" t="s">
        <v>311</v>
      </c>
      <c r="B404" t="s">
        <v>109</v>
      </c>
      <c r="C404" t="s">
        <v>414</v>
      </c>
      <c r="D404">
        <v>500</v>
      </c>
      <c r="E404" s="23">
        <v>2.75276923076923E+16</v>
      </c>
      <c r="F404" t="s">
        <v>615</v>
      </c>
    </row>
    <row r="405" spans="1:6" hidden="1" x14ac:dyDescent="0.25">
      <c r="A405" t="s">
        <v>311</v>
      </c>
      <c r="B405" t="s">
        <v>109</v>
      </c>
      <c r="C405" t="s">
        <v>415</v>
      </c>
      <c r="D405">
        <v>700</v>
      </c>
      <c r="E405" t="s">
        <v>816</v>
      </c>
      <c r="F405" t="s">
        <v>615</v>
      </c>
    </row>
    <row r="406" spans="1:6" hidden="1" x14ac:dyDescent="0.25">
      <c r="A406" t="s">
        <v>311</v>
      </c>
      <c r="B406" t="s">
        <v>109</v>
      </c>
      <c r="C406" t="s">
        <v>416</v>
      </c>
      <c r="D406">
        <v>800</v>
      </c>
      <c r="E406" s="23">
        <v>4159625</v>
      </c>
      <c r="F406" t="s">
        <v>615</v>
      </c>
    </row>
    <row r="407" spans="1:6" hidden="1" x14ac:dyDescent="0.25">
      <c r="A407" t="s">
        <v>311</v>
      </c>
      <c r="B407" t="s">
        <v>109</v>
      </c>
      <c r="C407" t="s">
        <v>417</v>
      </c>
      <c r="D407">
        <v>1000</v>
      </c>
      <c r="E407" s="23">
        <v>5136636363636360</v>
      </c>
      <c r="F407" t="s">
        <v>615</v>
      </c>
    </row>
    <row r="408" spans="1:6" hidden="1" x14ac:dyDescent="0.25">
      <c r="A408" t="s">
        <v>311</v>
      </c>
      <c r="B408" t="s">
        <v>109</v>
      </c>
      <c r="C408" t="s">
        <v>418</v>
      </c>
      <c r="D408">
        <v>300</v>
      </c>
      <c r="E408" s="23">
        <v>1.6126923076923E+16</v>
      </c>
      <c r="F408" t="s">
        <v>615</v>
      </c>
    </row>
    <row r="409" spans="1:6" hidden="1" x14ac:dyDescent="0.25">
      <c r="A409" t="s">
        <v>311</v>
      </c>
      <c r="B409" t="s">
        <v>109</v>
      </c>
      <c r="C409" t="s">
        <v>419</v>
      </c>
      <c r="D409">
        <v>500</v>
      </c>
      <c r="E409" t="s">
        <v>817</v>
      </c>
      <c r="F409" t="s">
        <v>615</v>
      </c>
    </row>
    <row r="410" spans="1:6" hidden="1" x14ac:dyDescent="0.25">
      <c r="A410" t="s">
        <v>311</v>
      </c>
      <c r="B410" t="s">
        <v>109</v>
      </c>
      <c r="C410" t="s">
        <v>420</v>
      </c>
      <c r="D410">
        <v>700</v>
      </c>
      <c r="E410" t="s">
        <v>818</v>
      </c>
      <c r="F410" t="s">
        <v>615</v>
      </c>
    </row>
    <row r="411" spans="1:6" hidden="1" x14ac:dyDescent="0.25">
      <c r="A411" t="s">
        <v>311</v>
      </c>
      <c r="B411" t="s">
        <v>109</v>
      </c>
      <c r="C411" t="s">
        <v>421</v>
      </c>
      <c r="D411">
        <v>800</v>
      </c>
      <c r="E411" s="23">
        <v>4.06826666666666E+16</v>
      </c>
      <c r="F411" t="s">
        <v>615</v>
      </c>
    </row>
    <row r="412" spans="1:6" hidden="1" x14ac:dyDescent="0.25">
      <c r="A412" t="s">
        <v>311</v>
      </c>
      <c r="B412" t="s">
        <v>109</v>
      </c>
      <c r="C412" t="s">
        <v>422</v>
      </c>
      <c r="D412">
        <v>1000</v>
      </c>
      <c r="E412" t="s">
        <v>819</v>
      </c>
      <c r="F412" t="s">
        <v>615</v>
      </c>
    </row>
    <row r="413" spans="1:6" hidden="1" x14ac:dyDescent="0.25">
      <c r="A413" t="s">
        <v>311</v>
      </c>
      <c r="B413" t="s">
        <v>109</v>
      </c>
      <c r="C413" t="s">
        <v>423</v>
      </c>
      <c r="D413">
        <v>300</v>
      </c>
      <c r="E413" t="s">
        <v>820</v>
      </c>
      <c r="F413" t="s">
        <v>615</v>
      </c>
    </row>
    <row r="414" spans="1:6" hidden="1" x14ac:dyDescent="0.25">
      <c r="A414" t="s">
        <v>311</v>
      </c>
      <c r="B414" t="s">
        <v>109</v>
      </c>
      <c r="C414" t="s">
        <v>424</v>
      </c>
      <c r="D414">
        <v>500</v>
      </c>
      <c r="E414" s="23">
        <v>2.63405882352941E+16</v>
      </c>
      <c r="F414" t="s">
        <v>615</v>
      </c>
    </row>
    <row r="415" spans="1:6" hidden="1" x14ac:dyDescent="0.25">
      <c r="A415" t="s">
        <v>311</v>
      </c>
      <c r="B415" t="s">
        <v>109</v>
      </c>
      <c r="C415" t="s">
        <v>425</v>
      </c>
      <c r="D415">
        <v>700</v>
      </c>
      <c r="E415" t="s">
        <v>821</v>
      </c>
      <c r="F415" t="s">
        <v>615</v>
      </c>
    </row>
    <row r="416" spans="1:6" hidden="1" x14ac:dyDescent="0.25">
      <c r="A416" t="s">
        <v>311</v>
      </c>
      <c r="B416" t="s">
        <v>109</v>
      </c>
      <c r="C416" t="s">
        <v>426</v>
      </c>
      <c r="D416">
        <v>800</v>
      </c>
      <c r="E416" s="23">
        <v>4097076923076920</v>
      </c>
      <c r="F416" t="s">
        <v>615</v>
      </c>
    </row>
    <row r="417" spans="1:6" hidden="1" x14ac:dyDescent="0.25">
      <c r="A417" t="s">
        <v>311</v>
      </c>
      <c r="B417" t="s">
        <v>109</v>
      </c>
      <c r="C417" t="s">
        <v>427</v>
      </c>
      <c r="D417">
        <v>1000</v>
      </c>
      <c r="E417" s="23">
        <v>5411125</v>
      </c>
      <c r="F417" t="s">
        <v>615</v>
      </c>
    </row>
    <row r="418" spans="1:6" hidden="1" x14ac:dyDescent="0.25">
      <c r="A418" t="s">
        <v>311</v>
      </c>
      <c r="B418" t="s">
        <v>109</v>
      </c>
      <c r="C418" t="s">
        <v>428</v>
      </c>
      <c r="D418">
        <v>300</v>
      </c>
      <c r="E418" s="23">
        <v>1502111111111110</v>
      </c>
      <c r="F418" t="s">
        <v>615</v>
      </c>
    </row>
    <row r="419" spans="1:6" hidden="1" x14ac:dyDescent="0.25">
      <c r="A419" t="s">
        <v>311</v>
      </c>
      <c r="B419" t="s">
        <v>109</v>
      </c>
      <c r="C419" t="s">
        <v>429</v>
      </c>
      <c r="D419">
        <v>500</v>
      </c>
      <c r="E419" s="23">
        <v>2646785714285710</v>
      </c>
      <c r="F419" t="s">
        <v>615</v>
      </c>
    </row>
    <row r="420" spans="1:6" hidden="1" x14ac:dyDescent="0.25">
      <c r="A420" t="s">
        <v>311</v>
      </c>
      <c r="B420" t="s">
        <v>109</v>
      </c>
      <c r="C420" t="s">
        <v>430</v>
      </c>
      <c r="D420">
        <v>700</v>
      </c>
      <c r="E420" s="23">
        <v>3592666666666660</v>
      </c>
      <c r="F420" t="s">
        <v>615</v>
      </c>
    </row>
    <row r="421" spans="1:6" hidden="1" x14ac:dyDescent="0.25">
      <c r="A421" t="s">
        <v>311</v>
      </c>
      <c r="B421" t="s">
        <v>109</v>
      </c>
      <c r="C421" t="s">
        <v>431</v>
      </c>
      <c r="D421">
        <v>800</v>
      </c>
      <c r="E421" s="23">
        <v>3955157894736840</v>
      </c>
      <c r="F421" t="s">
        <v>615</v>
      </c>
    </row>
    <row r="422" spans="1:6" hidden="1" x14ac:dyDescent="0.25">
      <c r="A422" t="s">
        <v>311</v>
      </c>
      <c r="B422" t="s">
        <v>109</v>
      </c>
      <c r="C422" t="s">
        <v>432</v>
      </c>
      <c r="D422">
        <v>1000</v>
      </c>
      <c r="E422" t="s">
        <v>822</v>
      </c>
      <c r="F422" t="s">
        <v>615</v>
      </c>
    </row>
    <row r="423" spans="1:6" hidden="1" x14ac:dyDescent="0.25">
      <c r="A423" t="s">
        <v>311</v>
      </c>
      <c r="B423" t="s">
        <v>109</v>
      </c>
      <c r="C423" t="s">
        <v>433</v>
      </c>
      <c r="D423">
        <v>300</v>
      </c>
      <c r="E423" s="23">
        <v>1.76253846153846E+16</v>
      </c>
      <c r="F423" t="s">
        <v>615</v>
      </c>
    </row>
    <row r="424" spans="1:6" hidden="1" x14ac:dyDescent="0.25">
      <c r="A424" t="s">
        <v>311</v>
      </c>
      <c r="B424" t="s">
        <v>109</v>
      </c>
      <c r="C424" t="s">
        <v>434</v>
      </c>
      <c r="D424">
        <v>500</v>
      </c>
      <c r="E424" t="s">
        <v>823</v>
      </c>
      <c r="F424" t="s">
        <v>615</v>
      </c>
    </row>
    <row r="425" spans="1:6" hidden="1" x14ac:dyDescent="0.25">
      <c r="A425" t="s">
        <v>311</v>
      </c>
      <c r="B425" t="s">
        <v>109</v>
      </c>
      <c r="C425" t="s">
        <v>435</v>
      </c>
      <c r="D425">
        <v>700</v>
      </c>
      <c r="E425" s="23">
        <v>3.44253846153846E+16</v>
      </c>
      <c r="F425" t="s">
        <v>615</v>
      </c>
    </row>
    <row r="426" spans="1:6" hidden="1" x14ac:dyDescent="0.25">
      <c r="A426" t="s">
        <v>311</v>
      </c>
      <c r="B426" t="s">
        <v>109</v>
      </c>
      <c r="C426" t="s">
        <v>436</v>
      </c>
      <c r="D426">
        <v>800</v>
      </c>
      <c r="E426" s="23">
        <v>4258833333333330</v>
      </c>
      <c r="F426" t="s">
        <v>615</v>
      </c>
    </row>
    <row r="427" spans="1:6" hidden="1" x14ac:dyDescent="0.25">
      <c r="A427" t="s">
        <v>311</v>
      </c>
      <c r="B427" t="s">
        <v>109</v>
      </c>
      <c r="C427" t="s">
        <v>437</v>
      </c>
      <c r="D427">
        <v>1000</v>
      </c>
      <c r="E427" t="s">
        <v>824</v>
      </c>
      <c r="F427" t="s">
        <v>615</v>
      </c>
    </row>
    <row r="428" spans="1:6" hidden="1" x14ac:dyDescent="0.25">
      <c r="A428" t="s">
        <v>311</v>
      </c>
      <c r="B428" t="s">
        <v>109</v>
      </c>
      <c r="C428" t="s">
        <v>438</v>
      </c>
      <c r="D428">
        <v>300</v>
      </c>
      <c r="E428" s="23">
        <v>15716875</v>
      </c>
      <c r="F428" t="s">
        <v>615</v>
      </c>
    </row>
    <row r="429" spans="1:6" hidden="1" x14ac:dyDescent="0.25">
      <c r="A429" t="s">
        <v>311</v>
      </c>
      <c r="B429" t="s">
        <v>109</v>
      </c>
      <c r="C429" t="s">
        <v>439</v>
      </c>
      <c r="D429">
        <v>500</v>
      </c>
      <c r="E429" t="s">
        <v>825</v>
      </c>
      <c r="F429" t="s">
        <v>615</v>
      </c>
    </row>
    <row r="430" spans="1:6" hidden="1" x14ac:dyDescent="0.25">
      <c r="A430" t="s">
        <v>311</v>
      </c>
      <c r="B430" t="s">
        <v>109</v>
      </c>
      <c r="C430" t="s">
        <v>440</v>
      </c>
      <c r="D430">
        <v>700</v>
      </c>
      <c r="E430" t="s">
        <v>826</v>
      </c>
      <c r="F430" t="s">
        <v>615</v>
      </c>
    </row>
    <row r="431" spans="1:6" hidden="1" x14ac:dyDescent="0.25">
      <c r="A431" t="s">
        <v>311</v>
      </c>
      <c r="B431" t="s">
        <v>109</v>
      </c>
      <c r="C431" t="s">
        <v>441</v>
      </c>
      <c r="D431">
        <v>800</v>
      </c>
      <c r="E431" t="s">
        <v>827</v>
      </c>
      <c r="F431" t="s">
        <v>615</v>
      </c>
    </row>
    <row r="432" spans="1:6" hidden="1" x14ac:dyDescent="0.25">
      <c r="A432" t="s">
        <v>311</v>
      </c>
      <c r="B432" t="s">
        <v>109</v>
      </c>
      <c r="C432" t="s">
        <v>442</v>
      </c>
      <c r="D432">
        <v>1000</v>
      </c>
      <c r="E432" s="23">
        <v>5346666666666660</v>
      </c>
      <c r="F432" t="s">
        <v>615</v>
      </c>
    </row>
    <row r="433" spans="1:6" hidden="1" x14ac:dyDescent="0.25">
      <c r="A433" t="s">
        <v>311</v>
      </c>
      <c r="B433" t="s">
        <v>109</v>
      </c>
      <c r="C433" t="s">
        <v>443</v>
      </c>
      <c r="D433">
        <v>300</v>
      </c>
      <c r="E433" s="23">
        <v>1.6455294117647E+16</v>
      </c>
      <c r="F433" t="s">
        <v>615</v>
      </c>
    </row>
    <row r="434" spans="1:6" hidden="1" x14ac:dyDescent="0.25">
      <c r="A434" t="s">
        <v>311</v>
      </c>
      <c r="B434" t="s">
        <v>109</v>
      </c>
      <c r="C434" t="s">
        <v>444</v>
      </c>
      <c r="D434">
        <v>500</v>
      </c>
      <c r="E434" t="s">
        <v>828</v>
      </c>
      <c r="F434" t="s">
        <v>615</v>
      </c>
    </row>
    <row r="435" spans="1:6" hidden="1" x14ac:dyDescent="0.25">
      <c r="A435" t="s">
        <v>311</v>
      </c>
      <c r="B435" t="s">
        <v>109</v>
      </c>
      <c r="C435" t="s">
        <v>445</v>
      </c>
      <c r="D435">
        <v>700</v>
      </c>
      <c r="E435" s="23">
        <v>3.6564285714285696E+16</v>
      </c>
      <c r="F435" t="s">
        <v>615</v>
      </c>
    </row>
    <row r="436" spans="1:6" hidden="1" x14ac:dyDescent="0.25">
      <c r="A436" t="s">
        <v>311</v>
      </c>
      <c r="B436" t="s">
        <v>109</v>
      </c>
      <c r="C436" t="s">
        <v>446</v>
      </c>
      <c r="D436">
        <v>800</v>
      </c>
      <c r="E436" s="23">
        <v>4204538461538460</v>
      </c>
      <c r="F436" t="s">
        <v>615</v>
      </c>
    </row>
    <row r="437" spans="1:6" hidden="1" x14ac:dyDescent="0.25">
      <c r="A437" t="s">
        <v>311</v>
      </c>
      <c r="B437" t="s">
        <v>109</v>
      </c>
      <c r="C437" t="s">
        <v>447</v>
      </c>
      <c r="D437">
        <v>1000</v>
      </c>
      <c r="E437" s="23">
        <v>5311733333333330</v>
      </c>
      <c r="F437" t="s">
        <v>615</v>
      </c>
    </row>
    <row r="438" spans="1:6" hidden="1" x14ac:dyDescent="0.25">
      <c r="A438" t="s">
        <v>311</v>
      </c>
      <c r="B438" t="s">
        <v>109</v>
      </c>
      <c r="C438" t="s">
        <v>448</v>
      </c>
      <c r="D438">
        <v>300</v>
      </c>
      <c r="E438" s="23">
        <v>1.56166666666666E+16</v>
      </c>
      <c r="F438" t="s">
        <v>615</v>
      </c>
    </row>
    <row r="439" spans="1:6" hidden="1" x14ac:dyDescent="0.25">
      <c r="A439" t="s">
        <v>311</v>
      </c>
      <c r="B439" t="s">
        <v>109</v>
      </c>
      <c r="C439" t="s">
        <v>449</v>
      </c>
      <c r="D439">
        <v>500</v>
      </c>
      <c r="E439" s="23">
        <v>2738285714285710</v>
      </c>
      <c r="F439" t="s">
        <v>615</v>
      </c>
    </row>
    <row r="440" spans="1:6" hidden="1" x14ac:dyDescent="0.25">
      <c r="A440" t="s">
        <v>311</v>
      </c>
      <c r="B440" t="s">
        <v>109</v>
      </c>
      <c r="C440" t="s">
        <v>450</v>
      </c>
      <c r="D440">
        <v>700</v>
      </c>
      <c r="E440" s="23">
        <v>3706666666666660</v>
      </c>
      <c r="F440" t="s">
        <v>615</v>
      </c>
    </row>
    <row r="441" spans="1:6" hidden="1" x14ac:dyDescent="0.25">
      <c r="A441" t="s">
        <v>311</v>
      </c>
      <c r="B441" t="s">
        <v>109</v>
      </c>
      <c r="C441" t="s">
        <v>451</v>
      </c>
      <c r="D441">
        <v>800</v>
      </c>
      <c r="E441" t="s">
        <v>829</v>
      </c>
      <c r="F441" t="s">
        <v>615</v>
      </c>
    </row>
    <row r="442" spans="1:6" hidden="1" x14ac:dyDescent="0.25">
      <c r="A442" t="s">
        <v>311</v>
      </c>
      <c r="B442" t="s">
        <v>109</v>
      </c>
      <c r="C442" t="s">
        <v>452</v>
      </c>
      <c r="D442">
        <v>1000</v>
      </c>
      <c r="E442" t="s">
        <v>830</v>
      </c>
      <c r="F442" t="s">
        <v>615</v>
      </c>
    </row>
    <row r="443" spans="1:6" hidden="1" x14ac:dyDescent="0.25">
      <c r="A443" t="s">
        <v>311</v>
      </c>
      <c r="B443" t="s">
        <v>109</v>
      </c>
      <c r="C443" t="s">
        <v>453</v>
      </c>
      <c r="D443">
        <v>300</v>
      </c>
      <c r="E443" s="23">
        <v>1.59158823529411E+16</v>
      </c>
      <c r="F443" t="s">
        <v>615</v>
      </c>
    </row>
    <row r="444" spans="1:6" hidden="1" x14ac:dyDescent="0.25">
      <c r="A444" t="s">
        <v>311</v>
      </c>
      <c r="B444" t="s">
        <v>109</v>
      </c>
      <c r="C444" t="s">
        <v>454</v>
      </c>
      <c r="D444">
        <v>500</v>
      </c>
      <c r="E444" t="s">
        <v>831</v>
      </c>
      <c r="F444" t="s">
        <v>615</v>
      </c>
    </row>
    <row r="445" spans="1:6" hidden="1" x14ac:dyDescent="0.25">
      <c r="A445" t="s">
        <v>311</v>
      </c>
      <c r="B445" t="s">
        <v>109</v>
      </c>
      <c r="C445" t="s">
        <v>455</v>
      </c>
      <c r="D445">
        <v>700</v>
      </c>
      <c r="E445" s="23">
        <v>3.9431428571428496E+16</v>
      </c>
      <c r="F445" t="s">
        <v>615</v>
      </c>
    </row>
    <row r="446" spans="1:6" hidden="1" x14ac:dyDescent="0.25">
      <c r="A446" t="s">
        <v>311</v>
      </c>
      <c r="B446" t="s">
        <v>109</v>
      </c>
      <c r="C446" t="s">
        <v>456</v>
      </c>
      <c r="D446">
        <v>800</v>
      </c>
      <c r="E446" s="23">
        <v>4176357142857140</v>
      </c>
      <c r="F446" t="s">
        <v>615</v>
      </c>
    </row>
    <row r="447" spans="1:6" hidden="1" x14ac:dyDescent="0.25">
      <c r="A447" t="s">
        <v>311</v>
      </c>
      <c r="B447" t="s">
        <v>109</v>
      </c>
      <c r="C447" t="s">
        <v>457</v>
      </c>
      <c r="D447">
        <v>1000</v>
      </c>
      <c r="E447" s="23">
        <v>5163470588235290</v>
      </c>
      <c r="F447" t="s">
        <v>615</v>
      </c>
    </row>
    <row r="448" spans="1:6" hidden="1" x14ac:dyDescent="0.25">
      <c r="A448" t="s">
        <v>311</v>
      </c>
      <c r="B448" t="s">
        <v>109</v>
      </c>
      <c r="C448" t="s">
        <v>458</v>
      </c>
      <c r="D448">
        <v>300</v>
      </c>
      <c r="E448" t="s">
        <v>832</v>
      </c>
      <c r="F448" t="s">
        <v>615</v>
      </c>
    </row>
    <row r="449" spans="1:6" hidden="1" x14ac:dyDescent="0.25">
      <c r="A449" t="s">
        <v>311</v>
      </c>
      <c r="B449" t="s">
        <v>109</v>
      </c>
      <c r="C449" t="s">
        <v>459</v>
      </c>
      <c r="D449">
        <v>500</v>
      </c>
      <c r="E449" t="s">
        <v>833</v>
      </c>
      <c r="F449" t="s">
        <v>615</v>
      </c>
    </row>
    <row r="450" spans="1:6" hidden="1" x14ac:dyDescent="0.25">
      <c r="A450" t="s">
        <v>311</v>
      </c>
      <c r="B450" t="s">
        <v>109</v>
      </c>
      <c r="C450" t="s">
        <v>460</v>
      </c>
      <c r="D450">
        <v>700</v>
      </c>
      <c r="E450" s="23">
        <v>3658666666666660</v>
      </c>
      <c r="F450" t="s">
        <v>615</v>
      </c>
    </row>
    <row r="451" spans="1:6" hidden="1" x14ac:dyDescent="0.25">
      <c r="A451" t="s">
        <v>311</v>
      </c>
      <c r="B451" t="s">
        <v>109</v>
      </c>
      <c r="C451" t="s">
        <v>461</v>
      </c>
      <c r="D451">
        <v>800</v>
      </c>
      <c r="E451" s="23">
        <v>4.0699285714285696E+16</v>
      </c>
      <c r="F451" t="s">
        <v>615</v>
      </c>
    </row>
    <row r="452" spans="1:6" hidden="1" x14ac:dyDescent="0.25">
      <c r="A452" t="s">
        <v>462</v>
      </c>
      <c r="B452" t="s">
        <v>7</v>
      </c>
      <c r="C452" t="s">
        <v>463</v>
      </c>
      <c r="D452">
        <v>1000</v>
      </c>
      <c r="E452" s="23">
        <v>4300090909090900</v>
      </c>
      <c r="F452" t="s">
        <v>615</v>
      </c>
    </row>
    <row r="453" spans="1:6" hidden="1" x14ac:dyDescent="0.25">
      <c r="A453" t="s">
        <v>462</v>
      </c>
      <c r="B453" t="s">
        <v>7</v>
      </c>
      <c r="C453" t="s">
        <v>464</v>
      </c>
      <c r="D453">
        <v>300</v>
      </c>
      <c r="E453" s="23">
        <v>1.30445454545454E+16</v>
      </c>
      <c r="F453" t="s">
        <v>615</v>
      </c>
    </row>
    <row r="454" spans="1:6" hidden="1" x14ac:dyDescent="0.25">
      <c r="A454" t="s">
        <v>462</v>
      </c>
      <c r="B454" t="s">
        <v>7</v>
      </c>
      <c r="C454" t="s">
        <v>465</v>
      </c>
      <c r="D454">
        <v>500</v>
      </c>
      <c r="E454" s="23">
        <v>2159181818181810</v>
      </c>
      <c r="F454" t="s">
        <v>615</v>
      </c>
    </row>
    <row r="455" spans="1:6" hidden="1" x14ac:dyDescent="0.25">
      <c r="A455" t="s">
        <v>462</v>
      </c>
      <c r="B455" t="s">
        <v>7</v>
      </c>
      <c r="C455" t="s">
        <v>466</v>
      </c>
      <c r="D455">
        <v>700</v>
      </c>
      <c r="E455" t="s">
        <v>834</v>
      </c>
      <c r="F455" t="s">
        <v>615</v>
      </c>
    </row>
    <row r="456" spans="1:6" hidden="1" x14ac:dyDescent="0.25">
      <c r="A456" t="s">
        <v>462</v>
      </c>
      <c r="B456" t="s">
        <v>7</v>
      </c>
      <c r="C456" t="s">
        <v>467</v>
      </c>
      <c r="D456">
        <v>800</v>
      </c>
      <c r="E456" s="23">
        <v>3.48055555555555E+16</v>
      </c>
      <c r="F456" t="s">
        <v>615</v>
      </c>
    </row>
    <row r="457" spans="1:6" hidden="1" x14ac:dyDescent="0.25">
      <c r="A457" t="s">
        <v>462</v>
      </c>
      <c r="B457" t="s">
        <v>7</v>
      </c>
      <c r="C457" t="s">
        <v>468</v>
      </c>
      <c r="D457">
        <v>1000</v>
      </c>
      <c r="E457" t="s">
        <v>835</v>
      </c>
      <c r="F457" t="s">
        <v>615</v>
      </c>
    </row>
    <row r="458" spans="1:6" hidden="1" x14ac:dyDescent="0.25">
      <c r="A458" t="s">
        <v>462</v>
      </c>
      <c r="B458" t="s">
        <v>7</v>
      </c>
      <c r="C458" t="s">
        <v>469</v>
      </c>
      <c r="D458">
        <v>300</v>
      </c>
      <c r="E458" s="23">
        <v>1.24663636363636E+16</v>
      </c>
      <c r="F458" t="s">
        <v>615</v>
      </c>
    </row>
    <row r="459" spans="1:6" hidden="1" x14ac:dyDescent="0.25">
      <c r="A459" t="s">
        <v>462</v>
      </c>
      <c r="B459" t="s">
        <v>7</v>
      </c>
      <c r="C459" t="s">
        <v>470</v>
      </c>
      <c r="D459">
        <v>500</v>
      </c>
      <c r="E459" s="23">
        <v>2162090909090900</v>
      </c>
      <c r="F459" t="s">
        <v>615</v>
      </c>
    </row>
    <row r="460" spans="1:6" hidden="1" x14ac:dyDescent="0.25">
      <c r="A460" t="s">
        <v>462</v>
      </c>
      <c r="B460" t="s">
        <v>7</v>
      </c>
      <c r="C460" t="s">
        <v>471</v>
      </c>
      <c r="D460">
        <v>700</v>
      </c>
      <c r="E460" s="23">
        <v>3026363636363630</v>
      </c>
      <c r="F460" t="s">
        <v>615</v>
      </c>
    </row>
    <row r="461" spans="1:6" hidden="1" x14ac:dyDescent="0.25">
      <c r="A461" t="s">
        <v>462</v>
      </c>
      <c r="B461" t="s">
        <v>7</v>
      </c>
      <c r="C461" t="s">
        <v>472</v>
      </c>
      <c r="D461">
        <v>800</v>
      </c>
      <c r="E461" t="s">
        <v>836</v>
      </c>
      <c r="F461" t="s">
        <v>615</v>
      </c>
    </row>
    <row r="462" spans="1:6" hidden="1" x14ac:dyDescent="0.25">
      <c r="A462" t="s">
        <v>462</v>
      </c>
      <c r="B462" t="s">
        <v>7</v>
      </c>
      <c r="C462" t="s">
        <v>473</v>
      </c>
      <c r="D462">
        <v>1000</v>
      </c>
      <c r="E462" s="23">
        <v>4186833333333330</v>
      </c>
      <c r="F462" t="s">
        <v>615</v>
      </c>
    </row>
    <row r="463" spans="1:6" hidden="1" x14ac:dyDescent="0.25">
      <c r="A463" t="s">
        <v>462</v>
      </c>
      <c r="B463" t="s">
        <v>7</v>
      </c>
      <c r="C463" t="s">
        <v>474</v>
      </c>
      <c r="D463">
        <v>300</v>
      </c>
      <c r="E463" s="23">
        <v>1.35183333333333E+16</v>
      </c>
      <c r="F463" t="s">
        <v>615</v>
      </c>
    </row>
    <row r="464" spans="1:6" hidden="1" x14ac:dyDescent="0.25">
      <c r="A464" t="s">
        <v>462</v>
      </c>
      <c r="B464" t="s">
        <v>7</v>
      </c>
      <c r="C464" t="s">
        <v>475</v>
      </c>
      <c r="D464">
        <v>500</v>
      </c>
      <c r="E464" t="s">
        <v>837</v>
      </c>
      <c r="F464" t="s">
        <v>615</v>
      </c>
    </row>
    <row r="465" spans="1:6" hidden="1" x14ac:dyDescent="0.25">
      <c r="A465" t="s">
        <v>462</v>
      </c>
      <c r="B465" t="s">
        <v>7</v>
      </c>
      <c r="C465" t="s">
        <v>476</v>
      </c>
      <c r="D465">
        <v>700</v>
      </c>
      <c r="E465" t="s">
        <v>838</v>
      </c>
      <c r="F465" t="s">
        <v>615</v>
      </c>
    </row>
    <row r="466" spans="1:6" hidden="1" x14ac:dyDescent="0.25">
      <c r="A466" t="s">
        <v>462</v>
      </c>
      <c r="B466" t="s">
        <v>7</v>
      </c>
      <c r="C466" t="s">
        <v>477</v>
      </c>
      <c r="D466">
        <v>800</v>
      </c>
      <c r="E466" t="s">
        <v>839</v>
      </c>
      <c r="F466" t="s">
        <v>615</v>
      </c>
    </row>
    <row r="467" spans="1:6" hidden="1" x14ac:dyDescent="0.25">
      <c r="A467" t="s">
        <v>462</v>
      </c>
      <c r="B467" t="s">
        <v>7</v>
      </c>
      <c r="C467" t="s">
        <v>478</v>
      </c>
      <c r="D467">
        <v>1000</v>
      </c>
      <c r="E467" s="23">
        <v>4553090909090900</v>
      </c>
      <c r="F467" t="s">
        <v>615</v>
      </c>
    </row>
    <row r="468" spans="1:6" hidden="1" x14ac:dyDescent="0.25">
      <c r="A468" t="s">
        <v>462</v>
      </c>
      <c r="B468" t="s">
        <v>7</v>
      </c>
      <c r="C468" t="s">
        <v>479</v>
      </c>
      <c r="D468">
        <v>300</v>
      </c>
      <c r="E468" s="23">
        <v>1.29666666666666E+16</v>
      </c>
      <c r="F468" t="s">
        <v>615</v>
      </c>
    </row>
    <row r="469" spans="1:6" hidden="1" x14ac:dyDescent="0.25">
      <c r="A469" t="s">
        <v>462</v>
      </c>
      <c r="B469" t="s">
        <v>7</v>
      </c>
      <c r="C469" t="s">
        <v>480</v>
      </c>
      <c r="D469">
        <v>500</v>
      </c>
      <c r="E469" s="23">
        <v>2.17383333333333E+16</v>
      </c>
      <c r="F469" t="s">
        <v>615</v>
      </c>
    </row>
    <row r="470" spans="1:6" hidden="1" x14ac:dyDescent="0.25">
      <c r="A470" t="s">
        <v>462</v>
      </c>
      <c r="B470" t="s">
        <v>7</v>
      </c>
      <c r="C470" t="s">
        <v>481</v>
      </c>
      <c r="D470">
        <v>700</v>
      </c>
      <c r="E470" s="23">
        <v>3.03316666666666E+16</v>
      </c>
      <c r="F470" t="s">
        <v>615</v>
      </c>
    </row>
    <row r="471" spans="1:6" hidden="1" x14ac:dyDescent="0.25">
      <c r="A471" t="s">
        <v>462</v>
      </c>
      <c r="B471" t="s">
        <v>7</v>
      </c>
      <c r="C471" t="s">
        <v>482</v>
      </c>
      <c r="D471">
        <v>800</v>
      </c>
      <c r="E471" s="23">
        <v>3.47046153846153E+16</v>
      </c>
      <c r="F471" t="s">
        <v>615</v>
      </c>
    </row>
    <row r="472" spans="1:6" hidden="1" x14ac:dyDescent="0.25">
      <c r="A472" t="s">
        <v>462</v>
      </c>
      <c r="B472" t="s">
        <v>7</v>
      </c>
      <c r="C472" t="s">
        <v>483</v>
      </c>
      <c r="D472">
        <v>1000</v>
      </c>
      <c r="E472" s="23">
        <v>4494090909090900</v>
      </c>
      <c r="F472" t="s">
        <v>615</v>
      </c>
    </row>
    <row r="473" spans="1:6" hidden="1" x14ac:dyDescent="0.25">
      <c r="A473" t="s">
        <v>462</v>
      </c>
      <c r="B473" t="s">
        <v>7</v>
      </c>
      <c r="C473" t="s">
        <v>484</v>
      </c>
      <c r="D473">
        <v>300</v>
      </c>
      <c r="E473" s="23">
        <v>1.25866666666666E+16</v>
      </c>
      <c r="F473" t="s">
        <v>615</v>
      </c>
    </row>
    <row r="474" spans="1:6" hidden="1" x14ac:dyDescent="0.25">
      <c r="A474" t="s">
        <v>462</v>
      </c>
      <c r="B474" t="s">
        <v>7</v>
      </c>
      <c r="C474" t="s">
        <v>485</v>
      </c>
      <c r="D474">
        <v>500</v>
      </c>
      <c r="E474" s="23">
        <v>2203375</v>
      </c>
      <c r="F474" t="s">
        <v>615</v>
      </c>
    </row>
    <row r="475" spans="1:6" hidden="1" x14ac:dyDescent="0.25">
      <c r="A475" t="s">
        <v>462</v>
      </c>
      <c r="B475" t="s">
        <v>7</v>
      </c>
      <c r="C475" t="s">
        <v>486</v>
      </c>
      <c r="D475">
        <v>700</v>
      </c>
      <c r="E475" s="23">
        <v>3.02761538461538E+16</v>
      </c>
      <c r="F475" t="s">
        <v>615</v>
      </c>
    </row>
    <row r="476" spans="1:6" hidden="1" x14ac:dyDescent="0.25">
      <c r="A476" t="s">
        <v>462</v>
      </c>
      <c r="B476" t="s">
        <v>7</v>
      </c>
      <c r="C476" t="s">
        <v>487</v>
      </c>
      <c r="D476">
        <v>800</v>
      </c>
      <c r="E476" s="23">
        <v>3.46276923076923E+16</v>
      </c>
      <c r="F476" t="s">
        <v>615</v>
      </c>
    </row>
    <row r="477" spans="1:6" hidden="1" x14ac:dyDescent="0.25">
      <c r="A477" t="s">
        <v>462</v>
      </c>
      <c r="B477" t="s">
        <v>7</v>
      </c>
      <c r="C477" t="s">
        <v>488</v>
      </c>
      <c r="D477">
        <v>1000</v>
      </c>
      <c r="E477" s="23">
        <v>4495636363636360</v>
      </c>
      <c r="F477" t="s">
        <v>615</v>
      </c>
    </row>
    <row r="478" spans="1:6" hidden="1" x14ac:dyDescent="0.25">
      <c r="A478" t="s">
        <v>462</v>
      </c>
      <c r="B478" t="s">
        <v>7</v>
      </c>
      <c r="C478" t="s">
        <v>489</v>
      </c>
      <c r="D478">
        <v>300</v>
      </c>
      <c r="E478" s="23">
        <v>1.30018181818181E+16</v>
      </c>
      <c r="F478" t="s">
        <v>615</v>
      </c>
    </row>
    <row r="479" spans="1:6" hidden="1" x14ac:dyDescent="0.25">
      <c r="A479" t="s">
        <v>462</v>
      </c>
      <c r="B479" t="s">
        <v>7</v>
      </c>
      <c r="C479" t="s">
        <v>490</v>
      </c>
      <c r="D479">
        <v>500</v>
      </c>
      <c r="E479" t="s">
        <v>840</v>
      </c>
      <c r="F479" t="s">
        <v>615</v>
      </c>
    </row>
    <row r="480" spans="1:6" hidden="1" x14ac:dyDescent="0.25">
      <c r="A480" t="s">
        <v>462</v>
      </c>
      <c r="B480" t="s">
        <v>7</v>
      </c>
      <c r="C480" t="s">
        <v>491</v>
      </c>
      <c r="D480">
        <v>700</v>
      </c>
      <c r="E480" t="s">
        <v>841</v>
      </c>
      <c r="F480" t="s">
        <v>615</v>
      </c>
    </row>
    <row r="481" spans="1:6" hidden="1" x14ac:dyDescent="0.25">
      <c r="A481" t="s">
        <v>462</v>
      </c>
      <c r="B481" t="s">
        <v>7</v>
      </c>
      <c r="C481" t="s">
        <v>492</v>
      </c>
      <c r="D481">
        <v>800</v>
      </c>
      <c r="E481" s="23">
        <v>3.38716666666666E+16</v>
      </c>
      <c r="F481" t="s">
        <v>615</v>
      </c>
    </row>
    <row r="482" spans="1:6" hidden="1" x14ac:dyDescent="0.25">
      <c r="A482" t="s">
        <v>462</v>
      </c>
      <c r="B482" t="s">
        <v>7</v>
      </c>
      <c r="C482" t="s">
        <v>493</v>
      </c>
      <c r="D482">
        <v>1000</v>
      </c>
      <c r="E482" s="23">
        <v>4468818181818180</v>
      </c>
      <c r="F482" t="s">
        <v>615</v>
      </c>
    </row>
    <row r="483" spans="1:6" hidden="1" x14ac:dyDescent="0.25">
      <c r="A483" t="s">
        <v>462</v>
      </c>
      <c r="B483" t="s">
        <v>7</v>
      </c>
      <c r="C483" t="s">
        <v>494</v>
      </c>
      <c r="D483">
        <v>300</v>
      </c>
      <c r="E483" s="23">
        <v>1.24923076923076E+16</v>
      </c>
      <c r="F483" t="s">
        <v>615</v>
      </c>
    </row>
    <row r="484" spans="1:6" hidden="1" x14ac:dyDescent="0.25">
      <c r="A484" t="s">
        <v>462</v>
      </c>
      <c r="B484" t="s">
        <v>7</v>
      </c>
      <c r="C484" t="s">
        <v>495</v>
      </c>
      <c r="D484">
        <v>500</v>
      </c>
      <c r="E484" t="s">
        <v>842</v>
      </c>
      <c r="F484" t="s">
        <v>615</v>
      </c>
    </row>
    <row r="485" spans="1:6" hidden="1" x14ac:dyDescent="0.25">
      <c r="A485" t="s">
        <v>462</v>
      </c>
      <c r="B485" t="s">
        <v>7</v>
      </c>
      <c r="C485" t="s">
        <v>496</v>
      </c>
      <c r="D485">
        <v>700</v>
      </c>
      <c r="E485" t="s">
        <v>843</v>
      </c>
      <c r="F485" t="s">
        <v>615</v>
      </c>
    </row>
    <row r="486" spans="1:6" hidden="1" x14ac:dyDescent="0.25">
      <c r="A486" t="s">
        <v>462</v>
      </c>
      <c r="B486" t="s">
        <v>7</v>
      </c>
      <c r="C486" t="s">
        <v>497</v>
      </c>
      <c r="D486">
        <v>800</v>
      </c>
      <c r="E486" s="23">
        <v>3.39366666666666E+16</v>
      </c>
      <c r="F486" t="s">
        <v>615</v>
      </c>
    </row>
    <row r="487" spans="1:6" hidden="1" x14ac:dyDescent="0.25">
      <c r="A487" t="s">
        <v>462</v>
      </c>
      <c r="B487" t="s">
        <v>7</v>
      </c>
      <c r="C487" t="s">
        <v>498</v>
      </c>
      <c r="D487">
        <v>1000</v>
      </c>
      <c r="E487" s="23">
        <v>4339272727272720</v>
      </c>
      <c r="F487" t="s">
        <v>615</v>
      </c>
    </row>
    <row r="488" spans="1:6" hidden="1" x14ac:dyDescent="0.25">
      <c r="A488" t="s">
        <v>462</v>
      </c>
      <c r="B488" t="s">
        <v>7</v>
      </c>
      <c r="C488" t="s">
        <v>499</v>
      </c>
      <c r="D488">
        <v>300</v>
      </c>
      <c r="E488" s="23">
        <v>1.29566666666666E+16</v>
      </c>
      <c r="F488" t="s">
        <v>615</v>
      </c>
    </row>
    <row r="489" spans="1:6" hidden="1" x14ac:dyDescent="0.25">
      <c r="A489" t="s">
        <v>462</v>
      </c>
      <c r="B489" t="s">
        <v>7</v>
      </c>
      <c r="C489" t="s">
        <v>500</v>
      </c>
      <c r="D489">
        <v>500</v>
      </c>
      <c r="E489" s="23">
        <v>2.11816666666666E+16</v>
      </c>
      <c r="F489" t="s">
        <v>615</v>
      </c>
    </row>
    <row r="490" spans="1:6" hidden="1" x14ac:dyDescent="0.25">
      <c r="A490" t="s">
        <v>462</v>
      </c>
      <c r="B490" t="s">
        <v>7</v>
      </c>
      <c r="C490" t="s">
        <v>501</v>
      </c>
      <c r="D490">
        <v>700</v>
      </c>
      <c r="E490" t="s">
        <v>844</v>
      </c>
      <c r="F490" t="s">
        <v>615</v>
      </c>
    </row>
    <row r="491" spans="1:6" hidden="1" x14ac:dyDescent="0.25">
      <c r="A491" t="s">
        <v>462</v>
      </c>
      <c r="B491" t="s">
        <v>7</v>
      </c>
      <c r="C491" t="s">
        <v>502</v>
      </c>
      <c r="D491">
        <v>800</v>
      </c>
      <c r="E491" t="s">
        <v>845</v>
      </c>
      <c r="F491" t="s">
        <v>615</v>
      </c>
    </row>
    <row r="492" spans="1:6" hidden="1" x14ac:dyDescent="0.25">
      <c r="A492" t="s">
        <v>462</v>
      </c>
      <c r="B492" t="s">
        <v>7</v>
      </c>
      <c r="C492" t="s">
        <v>503</v>
      </c>
      <c r="D492">
        <v>1000</v>
      </c>
      <c r="E492" s="23">
        <v>4233692307692300</v>
      </c>
      <c r="F492" t="s">
        <v>615</v>
      </c>
    </row>
    <row r="493" spans="1:6" hidden="1" x14ac:dyDescent="0.25">
      <c r="A493" t="s">
        <v>462</v>
      </c>
      <c r="B493" t="s">
        <v>7</v>
      </c>
      <c r="C493" t="s">
        <v>504</v>
      </c>
      <c r="D493">
        <v>300</v>
      </c>
      <c r="E493" s="23">
        <v>1.31866666666666E+16</v>
      </c>
      <c r="F493" t="s">
        <v>615</v>
      </c>
    </row>
    <row r="494" spans="1:6" hidden="1" x14ac:dyDescent="0.25">
      <c r="A494" t="s">
        <v>462</v>
      </c>
      <c r="B494" t="s">
        <v>7</v>
      </c>
      <c r="C494" t="s">
        <v>505</v>
      </c>
      <c r="D494">
        <v>500</v>
      </c>
      <c r="E494" s="23">
        <v>2256076923076920</v>
      </c>
      <c r="F494" t="s">
        <v>615</v>
      </c>
    </row>
    <row r="495" spans="1:6" hidden="1" x14ac:dyDescent="0.25">
      <c r="A495" t="s">
        <v>462</v>
      </c>
      <c r="B495" t="s">
        <v>7</v>
      </c>
      <c r="C495" t="s">
        <v>506</v>
      </c>
      <c r="D495">
        <v>700</v>
      </c>
      <c r="E495" s="23">
        <v>3.03616666666666E+16</v>
      </c>
      <c r="F495" t="s">
        <v>615</v>
      </c>
    </row>
    <row r="496" spans="1:6" hidden="1" x14ac:dyDescent="0.25">
      <c r="A496" t="s">
        <v>462</v>
      </c>
      <c r="B496" t="s">
        <v>7</v>
      </c>
      <c r="C496" t="s">
        <v>507</v>
      </c>
      <c r="D496">
        <v>800</v>
      </c>
      <c r="E496" s="23">
        <v>3477272727272720</v>
      </c>
      <c r="F496" t="s">
        <v>615</v>
      </c>
    </row>
    <row r="497" spans="1:6" hidden="1" x14ac:dyDescent="0.25">
      <c r="A497" t="s">
        <v>462</v>
      </c>
      <c r="B497" t="s">
        <v>7</v>
      </c>
      <c r="C497" t="s">
        <v>508</v>
      </c>
      <c r="D497">
        <v>1000</v>
      </c>
      <c r="E497" s="23">
        <v>4314818181818180</v>
      </c>
      <c r="F497" t="s">
        <v>615</v>
      </c>
    </row>
    <row r="498" spans="1:6" hidden="1" x14ac:dyDescent="0.25">
      <c r="A498" t="s">
        <v>462</v>
      </c>
      <c r="B498" t="s">
        <v>7</v>
      </c>
      <c r="C498" t="s">
        <v>509</v>
      </c>
      <c r="D498">
        <v>300</v>
      </c>
      <c r="E498" s="23">
        <v>1.28172727272727E+16</v>
      </c>
      <c r="F498" t="s">
        <v>615</v>
      </c>
    </row>
    <row r="499" spans="1:6" hidden="1" x14ac:dyDescent="0.25">
      <c r="A499" t="s">
        <v>462</v>
      </c>
      <c r="B499" t="s">
        <v>7</v>
      </c>
      <c r="C499" t="s">
        <v>510</v>
      </c>
      <c r="D499">
        <v>500</v>
      </c>
      <c r="E499" s="23">
        <v>2104833333333330</v>
      </c>
      <c r="F499" t="s">
        <v>615</v>
      </c>
    </row>
    <row r="500" spans="1:6" hidden="1" x14ac:dyDescent="0.25">
      <c r="A500" t="s">
        <v>462</v>
      </c>
      <c r="B500" t="s">
        <v>7</v>
      </c>
      <c r="C500" t="s">
        <v>511</v>
      </c>
      <c r="D500">
        <v>700</v>
      </c>
      <c r="E500" s="23">
        <v>3099333333333330</v>
      </c>
      <c r="F500" t="s">
        <v>615</v>
      </c>
    </row>
    <row r="501" spans="1:6" hidden="1" x14ac:dyDescent="0.25">
      <c r="A501" t="s">
        <v>462</v>
      </c>
      <c r="B501" t="s">
        <v>7</v>
      </c>
      <c r="C501" t="s">
        <v>512</v>
      </c>
      <c r="D501">
        <v>800</v>
      </c>
      <c r="E501" t="s">
        <v>846</v>
      </c>
      <c r="F501" t="s">
        <v>615</v>
      </c>
    </row>
    <row r="502" spans="1:6" hidden="1" x14ac:dyDescent="0.25">
      <c r="A502" t="s">
        <v>462</v>
      </c>
      <c r="B502" t="s">
        <v>58</v>
      </c>
      <c r="C502" t="s">
        <v>513</v>
      </c>
      <c r="D502">
        <v>1000</v>
      </c>
      <c r="E502" t="s">
        <v>847</v>
      </c>
      <c r="F502" t="s">
        <v>615</v>
      </c>
    </row>
    <row r="503" spans="1:6" hidden="1" x14ac:dyDescent="0.25">
      <c r="A503" t="s">
        <v>462</v>
      </c>
      <c r="B503" t="s">
        <v>58</v>
      </c>
      <c r="C503" t="s">
        <v>514</v>
      </c>
      <c r="D503">
        <v>300</v>
      </c>
      <c r="E503" t="s">
        <v>848</v>
      </c>
      <c r="F503" t="s">
        <v>615</v>
      </c>
    </row>
    <row r="504" spans="1:6" hidden="1" x14ac:dyDescent="0.25">
      <c r="A504" t="s">
        <v>462</v>
      </c>
      <c r="B504" t="s">
        <v>58</v>
      </c>
      <c r="C504" t="s">
        <v>515</v>
      </c>
      <c r="D504">
        <v>500</v>
      </c>
      <c r="E504" s="23">
        <v>2.13316666666666E+16</v>
      </c>
      <c r="F504" t="s">
        <v>615</v>
      </c>
    </row>
    <row r="505" spans="1:6" hidden="1" x14ac:dyDescent="0.25">
      <c r="A505" t="s">
        <v>462</v>
      </c>
      <c r="B505" t="s">
        <v>58</v>
      </c>
      <c r="C505" t="s">
        <v>516</v>
      </c>
      <c r="D505">
        <v>700</v>
      </c>
      <c r="E505" t="s">
        <v>849</v>
      </c>
      <c r="F505" t="s">
        <v>615</v>
      </c>
    </row>
    <row r="506" spans="1:6" hidden="1" x14ac:dyDescent="0.25">
      <c r="A506" t="s">
        <v>462</v>
      </c>
      <c r="B506" t="s">
        <v>58</v>
      </c>
      <c r="C506" t="s">
        <v>517</v>
      </c>
      <c r="D506">
        <v>800</v>
      </c>
      <c r="E506" s="23">
        <v>3425333333333330</v>
      </c>
      <c r="F506" t="s">
        <v>615</v>
      </c>
    </row>
    <row r="507" spans="1:6" hidden="1" x14ac:dyDescent="0.25">
      <c r="A507" t="s">
        <v>462</v>
      </c>
      <c r="B507" t="s">
        <v>58</v>
      </c>
      <c r="C507" t="s">
        <v>518</v>
      </c>
      <c r="D507">
        <v>1000</v>
      </c>
      <c r="E507" s="23">
        <v>4471545454545450</v>
      </c>
      <c r="F507" t="s">
        <v>615</v>
      </c>
    </row>
    <row r="508" spans="1:6" hidden="1" x14ac:dyDescent="0.25">
      <c r="A508" t="s">
        <v>462</v>
      </c>
      <c r="B508" t="s">
        <v>58</v>
      </c>
      <c r="C508" t="s">
        <v>519</v>
      </c>
      <c r="D508">
        <v>300</v>
      </c>
      <c r="E508" s="23">
        <v>1.27533333333333E+16</v>
      </c>
      <c r="F508" t="s">
        <v>615</v>
      </c>
    </row>
    <row r="509" spans="1:6" hidden="1" x14ac:dyDescent="0.25">
      <c r="A509" t="s">
        <v>462</v>
      </c>
      <c r="B509" t="s">
        <v>58</v>
      </c>
      <c r="C509" t="s">
        <v>520</v>
      </c>
      <c r="D509">
        <v>500</v>
      </c>
      <c r="E509" s="23">
        <v>2201714285714280</v>
      </c>
      <c r="F509" t="s">
        <v>615</v>
      </c>
    </row>
    <row r="510" spans="1:6" hidden="1" x14ac:dyDescent="0.25">
      <c r="A510" t="s">
        <v>462</v>
      </c>
      <c r="B510" t="s">
        <v>58</v>
      </c>
      <c r="C510" t="s">
        <v>521</v>
      </c>
      <c r="D510">
        <v>700</v>
      </c>
      <c r="E510" s="23">
        <v>3114714285714280</v>
      </c>
      <c r="F510" t="s">
        <v>615</v>
      </c>
    </row>
    <row r="511" spans="1:6" hidden="1" x14ac:dyDescent="0.25">
      <c r="A511" t="s">
        <v>462</v>
      </c>
      <c r="B511" t="s">
        <v>58</v>
      </c>
      <c r="C511" t="s">
        <v>522</v>
      </c>
      <c r="D511">
        <v>800</v>
      </c>
      <c r="E511" s="23">
        <v>3517142857142850</v>
      </c>
      <c r="F511" t="s">
        <v>615</v>
      </c>
    </row>
    <row r="512" spans="1:6" hidden="1" x14ac:dyDescent="0.25">
      <c r="A512" t="s">
        <v>462</v>
      </c>
      <c r="B512" t="s">
        <v>58</v>
      </c>
      <c r="C512" t="s">
        <v>523</v>
      </c>
      <c r="D512">
        <v>1000</v>
      </c>
      <c r="E512" s="23">
        <v>4468545454545450</v>
      </c>
      <c r="F512" t="s">
        <v>615</v>
      </c>
    </row>
    <row r="513" spans="1:6" hidden="1" x14ac:dyDescent="0.25">
      <c r="A513" t="s">
        <v>462</v>
      </c>
      <c r="B513" t="s">
        <v>58</v>
      </c>
      <c r="C513" t="s">
        <v>524</v>
      </c>
      <c r="D513">
        <v>300</v>
      </c>
      <c r="E513" s="23">
        <v>1348090909090900</v>
      </c>
      <c r="F513" t="s">
        <v>615</v>
      </c>
    </row>
    <row r="514" spans="1:6" hidden="1" x14ac:dyDescent="0.25">
      <c r="A514" t="s">
        <v>462</v>
      </c>
      <c r="B514" t="s">
        <v>58</v>
      </c>
      <c r="C514" t="s">
        <v>525</v>
      </c>
      <c r="D514">
        <v>500</v>
      </c>
      <c r="E514" s="23">
        <v>2304727272727270</v>
      </c>
      <c r="F514" t="s">
        <v>615</v>
      </c>
    </row>
    <row r="515" spans="1:6" hidden="1" x14ac:dyDescent="0.25">
      <c r="A515" t="s">
        <v>462</v>
      </c>
      <c r="B515" t="s">
        <v>58</v>
      </c>
      <c r="C515" t="s">
        <v>526</v>
      </c>
      <c r="D515">
        <v>700</v>
      </c>
      <c r="E515" t="s">
        <v>850</v>
      </c>
      <c r="F515" t="s">
        <v>615</v>
      </c>
    </row>
    <row r="516" spans="1:6" hidden="1" x14ac:dyDescent="0.25">
      <c r="A516" t="s">
        <v>462</v>
      </c>
      <c r="B516" t="s">
        <v>58</v>
      </c>
      <c r="C516" t="s">
        <v>527</v>
      </c>
      <c r="D516">
        <v>800</v>
      </c>
      <c r="E516" s="23">
        <v>3522272727272720</v>
      </c>
      <c r="F516" t="s">
        <v>615</v>
      </c>
    </row>
    <row r="517" spans="1:6" hidden="1" x14ac:dyDescent="0.25">
      <c r="A517" t="s">
        <v>462</v>
      </c>
      <c r="B517" t="s">
        <v>58</v>
      </c>
      <c r="C517" t="s">
        <v>528</v>
      </c>
      <c r="D517">
        <v>1000</v>
      </c>
      <c r="E517" s="23">
        <v>4626090909090900</v>
      </c>
      <c r="F517" t="s">
        <v>615</v>
      </c>
    </row>
    <row r="518" spans="1:6" hidden="1" x14ac:dyDescent="0.25">
      <c r="A518" t="s">
        <v>462</v>
      </c>
      <c r="B518" t="s">
        <v>58</v>
      </c>
      <c r="C518" t="s">
        <v>529</v>
      </c>
      <c r="D518">
        <v>300</v>
      </c>
      <c r="E518" s="23">
        <v>1298818181818180</v>
      </c>
      <c r="F518" t="s">
        <v>615</v>
      </c>
    </row>
    <row r="519" spans="1:6" hidden="1" x14ac:dyDescent="0.25">
      <c r="A519" t="s">
        <v>462</v>
      </c>
      <c r="B519" t="s">
        <v>58</v>
      </c>
      <c r="C519" t="s">
        <v>530</v>
      </c>
      <c r="D519">
        <v>500</v>
      </c>
      <c r="E519" s="23">
        <v>2.13033333333333E+16</v>
      </c>
      <c r="F519" t="s">
        <v>615</v>
      </c>
    </row>
    <row r="520" spans="1:6" hidden="1" x14ac:dyDescent="0.25">
      <c r="A520" t="s">
        <v>462</v>
      </c>
      <c r="B520" t="s">
        <v>58</v>
      </c>
      <c r="C520" t="s">
        <v>531</v>
      </c>
      <c r="D520">
        <v>700</v>
      </c>
      <c r="E520" s="23">
        <v>3.07657142857142E+16</v>
      </c>
      <c r="F520" t="s">
        <v>615</v>
      </c>
    </row>
    <row r="521" spans="1:6" hidden="1" x14ac:dyDescent="0.25">
      <c r="A521" t="s">
        <v>462</v>
      </c>
      <c r="B521" t="s">
        <v>58</v>
      </c>
      <c r="C521" t="s">
        <v>532</v>
      </c>
      <c r="D521">
        <v>800</v>
      </c>
      <c r="E521" s="23">
        <v>3498909090909090</v>
      </c>
      <c r="F521" t="s">
        <v>615</v>
      </c>
    </row>
    <row r="522" spans="1:6" hidden="1" x14ac:dyDescent="0.25">
      <c r="A522" t="s">
        <v>462</v>
      </c>
      <c r="B522" t="s">
        <v>58</v>
      </c>
      <c r="C522" t="s">
        <v>533</v>
      </c>
      <c r="D522">
        <v>1000</v>
      </c>
      <c r="E522" t="s">
        <v>851</v>
      </c>
      <c r="F522" t="s">
        <v>615</v>
      </c>
    </row>
    <row r="523" spans="1:6" hidden="1" x14ac:dyDescent="0.25">
      <c r="A523" t="s">
        <v>462</v>
      </c>
      <c r="B523" t="s">
        <v>58</v>
      </c>
      <c r="C523" t="s">
        <v>534</v>
      </c>
      <c r="D523">
        <v>300</v>
      </c>
      <c r="E523" s="23">
        <v>1.27838461538461E+16</v>
      </c>
      <c r="F523" t="s">
        <v>615</v>
      </c>
    </row>
    <row r="524" spans="1:6" hidden="1" x14ac:dyDescent="0.25">
      <c r="A524" t="s">
        <v>462</v>
      </c>
      <c r="B524" t="s">
        <v>58</v>
      </c>
      <c r="C524" t="s">
        <v>535</v>
      </c>
      <c r="D524">
        <v>500</v>
      </c>
      <c r="E524" t="s">
        <v>852</v>
      </c>
      <c r="F524" t="s">
        <v>615</v>
      </c>
    </row>
    <row r="525" spans="1:6" hidden="1" x14ac:dyDescent="0.25">
      <c r="A525" t="s">
        <v>462</v>
      </c>
      <c r="B525" t="s">
        <v>58</v>
      </c>
      <c r="C525" t="s">
        <v>536</v>
      </c>
      <c r="D525">
        <v>700</v>
      </c>
      <c r="E525" s="23">
        <v>3143909090909090</v>
      </c>
      <c r="F525" t="s">
        <v>615</v>
      </c>
    </row>
    <row r="526" spans="1:6" hidden="1" x14ac:dyDescent="0.25">
      <c r="A526" t="s">
        <v>462</v>
      </c>
      <c r="B526" t="s">
        <v>58</v>
      </c>
      <c r="C526" t="s">
        <v>537</v>
      </c>
      <c r="D526">
        <v>800</v>
      </c>
      <c r="E526" s="23">
        <v>3541625</v>
      </c>
      <c r="F526" t="s">
        <v>615</v>
      </c>
    </row>
    <row r="527" spans="1:6" hidden="1" x14ac:dyDescent="0.25">
      <c r="A527" t="s">
        <v>462</v>
      </c>
      <c r="B527" t="s">
        <v>58</v>
      </c>
      <c r="C527" t="s">
        <v>538</v>
      </c>
      <c r="D527">
        <v>1000</v>
      </c>
      <c r="E527" t="s">
        <v>853</v>
      </c>
      <c r="F527" t="s">
        <v>615</v>
      </c>
    </row>
    <row r="528" spans="1:6" hidden="1" x14ac:dyDescent="0.25">
      <c r="A528" t="s">
        <v>462</v>
      </c>
      <c r="B528" t="s">
        <v>58</v>
      </c>
      <c r="C528" t="s">
        <v>539</v>
      </c>
      <c r="D528">
        <v>300</v>
      </c>
      <c r="E528" t="s">
        <v>854</v>
      </c>
      <c r="F528" t="s">
        <v>615</v>
      </c>
    </row>
    <row r="529" spans="1:6" hidden="1" x14ac:dyDescent="0.25">
      <c r="A529" t="s">
        <v>462</v>
      </c>
      <c r="B529" t="s">
        <v>58</v>
      </c>
      <c r="C529" t="s">
        <v>540</v>
      </c>
      <c r="D529">
        <v>500</v>
      </c>
      <c r="E529" s="23">
        <v>2231727272727270</v>
      </c>
      <c r="F529" t="s">
        <v>615</v>
      </c>
    </row>
    <row r="530" spans="1:6" hidden="1" x14ac:dyDescent="0.25">
      <c r="A530" t="s">
        <v>462</v>
      </c>
      <c r="B530" t="s">
        <v>58</v>
      </c>
      <c r="C530" t="s">
        <v>541</v>
      </c>
      <c r="D530">
        <v>700</v>
      </c>
      <c r="E530" s="23">
        <v>3.07616666666666E+16</v>
      </c>
      <c r="F530" t="s">
        <v>615</v>
      </c>
    </row>
    <row r="531" spans="1:6" hidden="1" x14ac:dyDescent="0.25">
      <c r="A531" t="s">
        <v>462</v>
      </c>
      <c r="B531" t="s">
        <v>58</v>
      </c>
      <c r="C531" t="s">
        <v>542</v>
      </c>
      <c r="D531">
        <v>800</v>
      </c>
      <c r="E531" s="23">
        <v>3575818181818180</v>
      </c>
      <c r="F531" t="s">
        <v>615</v>
      </c>
    </row>
    <row r="532" spans="1:6" hidden="1" x14ac:dyDescent="0.25">
      <c r="A532" t="s">
        <v>462</v>
      </c>
      <c r="B532" t="s">
        <v>58</v>
      </c>
      <c r="C532" t="s">
        <v>543</v>
      </c>
      <c r="D532">
        <v>1000</v>
      </c>
      <c r="E532" t="s">
        <v>855</v>
      </c>
      <c r="F532" t="s">
        <v>615</v>
      </c>
    </row>
    <row r="533" spans="1:6" hidden="1" x14ac:dyDescent="0.25">
      <c r="A533" t="s">
        <v>462</v>
      </c>
      <c r="B533" t="s">
        <v>58</v>
      </c>
      <c r="C533" t="s">
        <v>544</v>
      </c>
      <c r="D533">
        <v>300</v>
      </c>
      <c r="E533" t="s">
        <v>856</v>
      </c>
      <c r="F533" t="s">
        <v>615</v>
      </c>
    </row>
    <row r="534" spans="1:6" hidden="1" x14ac:dyDescent="0.25">
      <c r="A534" t="s">
        <v>462</v>
      </c>
      <c r="B534" t="s">
        <v>58</v>
      </c>
      <c r="C534" t="s">
        <v>545</v>
      </c>
      <c r="D534">
        <v>500</v>
      </c>
      <c r="E534" t="s">
        <v>857</v>
      </c>
      <c r="F534" t="s">
        <v>615</v>
      </c>
    </row>
    <row r="535" spans="1:6" hidden="1" x14ac:dyDescent="0.25">
      <c r="A535" t="s">
        <v>462</v>
      </c>
      <c r="B535" t="s">
        <v>58</v>
      </c>
      <c r="C535" t="s">
        <v>546</v>
      </c>
      <c r="D535">
        <v>700</v>
      </c>
      <c r="E535" s="23">
        <v>3081727272727270</v>
      </c>
      <c r="F535" t="s">
        <v>615</v>
      </c>
    </row>
    <row r="536" spans="1:6" hidden="1" x14ac:dyDescent="0.25">
      <c r="A536" t="s">
        <v>462</v>
      </c>
      <c r="B536" t="s">
        <v>58</v>
      </c>
      <c r="C536" t="s">
        <v>547</v>
      </c>
      <c r="D536">
        <v>800</v>
      </c>
      <c r="E536" t="s">
        <v>858</v>
      </c>
      <c r="F536" t="s">
        <v>615</v>
      </c>
    </row>
    <row r="537" spans="1:6" hidden="1" x14ac:dyDescent="0.25">
      <c r="A537" t="s">
        <v>462</v>
      </c>
      <c r="B537" t="s">
        <v>58</v>
      </c>
      <c r="C537" t="s">
        <v>548</v>
      </c>
      <c r="D537">
        <v>1000</v>
      </c>
      <c r="E537" s="23">
        <v>4428666666666660</v>
      </c>
      <c r="F537" t="s">
        <v>615</v>
      </c>
    </row>
    <row r="538" spans="1:6" hidden="1" x14ac:dyDescent="0.25">
      <c r="A538" t="s">
        <v>462</v>
      </c>
      <c r="B538" t="s">
        <v>58</v>
      </c>
      <c r="C538" t="s">
        <v>549</v>
      </c>
      <c r="D538">
        <v>300</v>
      </c>
      <c r="E538" s="23">
        <v>1.35230769230769E+16</v>
      </c>
      <c r="F538" t="s">
        <v>615</v>
      </c>
    </row>
    <row r="539" spans="1:6" hidden="1" x14ac:dyDescent="0.25">
      <c r="A539" t="s">
        <v>462</v>
      </c>
      <c r="B539" t="s">
        <v>58</v>
      </c>
      <c r="C539" t="s">
        <v>550</v>
      </c>
      <c r="D539">
        <v>500</v>
      </c>
      <c r="E539" t="s">
        <v>859</v>
      </c>
      <c r="F539" t="s">
        <v>615</v>
      </c>
    </row>
    <row r="540" spans="1:6" hidden="1" x14ac:dyDescent="0.25">
      <c r="A540" t="s">
        <v>462</v>
      </c>
      <c r="B540" t="s">
        <v>58</v>
      </c>
      <c r="C540" t="s">
        <v>551</v>
      </c>
      <c r="D540">
        <v>700</v>
      </c>
      <c r="E540" s="23">
        <v>3153125</v>
      </c>
      <c r="F540" t="s">
        <v>615</v>
      </c>
    </row>
    <row r="541" spans="1:6" hidden="1" x14ac:dyDescent="0.25">
      <c r="A541" t="s">
        <v>462</v>
      </c>
      <c r="B541" t="s">
        <v>58</v>
      </c>
      <c r="C541" t="s">
        <v>552</v>
      </c>
      <c r="D541">
        <v>800</v>
      </c>
      <c r="E541" s="23">
        <v>3.53466666666666E+16</v>
      </c>
      <c r="F541" t="s">
        <v>615</v>
      </c>
    </row>
    <row r="542" spans="1:6" hidden="1" x14ac:dyDescent="0.25">
      <c r="A542" t="s">
        <v>462</v>
      </c>
      <c r="B542" t="s">
        <v>58</v>
      </c>
      <c r="C542" t="s">
        <v>553</v>
      </c>
      <c r="D542">
        <v>1000</v>
      </c>
      <c r="E542" s="23">
        <v>4429636363636360</v>
      </c>
      <c r="F542" t="s">
        <v>615</v>
      </c>
    </row>
    <row r="543" spans="1:6" hidden="1" x14ac:dyDescent="0.25">
      <c r="A543" t="s">
        <v>462</v>
      </c>
      <c r="B543" t="s">
        <v>58</v>
      </c>
      <c r="C543" t="s">
        <v>554</v>
      </c>
      <c r="D543">
        <v>300</v>
      </c>
      <c r="E543" s="23">
        <v>1.30066666666666E+16</v>
      </c>
      <c r="F543" t="s">
        <v>615</v>
      </c>
    </row>
    <row r="544" spans="1:6" hidden="1" x14ac:dyDescent="0.25">
      <c r="A544" t="s">
        <v>462</v>
      </c>
      <c r="B544" t="s">
        <v>58</v>
      </c>
      <c r="C544" t="s">
        <v>555</v>
      </c>
      <c r="D544">
        <v>500</v>
      </c>
      <c r="E544" s="23">
        <v>2.13963636363636E+16</v>
      </c>
      <c r="F544" t="s">
        <v>615</v>
      </c>
    </row>
    <row r="545" spans="1:6" hidden="1" x14ac:dyDescent="0.25">
      <c r="A545" t="s">
        <v>462</v>
      </c>
      <c r="B545" t="s">
        <v>58</v>
      </c>
      <c r="C545" t="s">
        <v>556</v>
      </c>
      <c r="D545">
        <v>700</v>
      </c>
      <c r="E545" s="23">
        <v>3.05966666666666E+16</v>
      </c>
      <c r="F545" t="s">
        <v>615</v>
      </c>
    </row>
    <row r="546" spans="1:6" hidden="1" x14ac:dyDescent="0.25">
      <c r="A546" t="s">
        <v>462</v>
      </c>
      <c r="B546" t="s">
        <v>58</v>
      </c>
      <c r="C546" t="s">
        <v>557</v>
      </c>
      <c r="D546">
        <v>800</v>
      </c>
      <c r="E546" s="23">
        <v>3.7013636363636304E+16</v>
      </c>
      <c r="F546" t="s">
        <v>615</v>
      </c>
    </row>
    <row r="547" spans="1:6" hidden="1" x14ac:dyDescent="0.25">
      <c r="A547" t="s">
        <v>462</v>
      </c>
      <c r="B547" t="s">
        <v>58</v>
      </c>
      <c r="C547" t="s">
        <v>558</v>
      </c>
      <c r="D547">
        <v>1000</v>
      </c>
      <c r="E547" s="23">
        <v>4602181818181810</v>
      </c>
      <c r="F547" t="s">
        <v>615</v>
      </c>
    </row>
    <row r="548" spans="1:6" hidden="1" x14ac:dyDescent="0.25">
      <c r="A548" t="s">
        <v>462</v>
      </c>
      <c r="B548" t="s">
        <v>58</v>
      </c>
      <c r="C548" t="s">
        <v>559</v>
      </c>
      <c r="D548">
        <v>300</v>
      </c>
      <c r="E548" s="23">
        <v>1.27230769230769E+16</v>
      </c>
      <c r="F548" t="s">
        <v>615</v>
      </c>
    </row>
    <row r="549" spans="1:6" hidden="1" x14ac:dyDescent="0.25">
      <c r="A549" t="s">
        <v>462</v>
      </c>
      <c r="B549" t="s">
        <v>58</v>
      </c>
      <c r="C549" t="s">
        <v>560</v>
      </c>
      <c r="D549">
        <v>500</v>
      </c>
      <c r="E549" s="23">
        <v>2065833333333330</v>
      </c>
      <c r="F549" t="s">
        <v>615</v>
      </c>
    </row>
    <row r="550" spans="1:6" hidden="1" x14ac:dyDescent="0.25">
      <c r="A550" t="s">
        <v>462</v>
      </c>
      <c r="B550" t="s">
        <v>58</v>
      </c>
      <c r="C550" t="s">
        <v>561</v>
      </c>
      <c r="D550">
        <v>700</v>
      </c>
      <c r="E550" t="s">
        <v>860</v>
      </c>
      <c r="F550" t="s">
        <v>615</v>
      </c>
    </row>
    <row r="551" spans="1:6" hidden="1" x14ac:dyDescent="0.25">
      <c r="A551" t="s">
        <v>462</v>
      </c>
      <c r="B551" t="s">
        <v>58</v>
      </c>
      <c r="C551" t="s">
        <v>562</v>
      </c>
      <c r="D551">
        <v>800</v>
      </c>
      <c r="E551" s="23">
        <v>3494909090909090</v>
      </c>
      <c r="F551" t="s">
        <v>615</v>
      </c>
    </row>
    <row r="552" spans="1:6" hidden="1" x14ac:dyDescent="0.25">
      <c r="A552" t="s">
        <v>462</v>
      </c>
      <c r="B552" t="s">
        <v>109</v>
      </c>
      <c r="C552" t="s">
        <v>563</v>
      </c>
      <c r="D552">
        <v>1000</v>
      </c>
      <c r="E552" t="s">
        <v>861</v>
      </c>
      <c r="F552" t="s">
        <v>615</v>
      </c>
    </row>
    <row r="553" spans="1:6" hidden="1" x14ac:dyDescent="0.25">
      <c r="A553" t="s">
        <v>462</v>
      </c>
      <c r="B553" t="s">
        <v>109</v>
      </c>
      <c r="C553" t="s">
        <v>564</v>
      </c>
      <c r="D553">
        <v>300</v>
      </c>
      <c r="E553" s="23">
        <v>1.55994117647058E+16</v>
      </c>
      <c r="F553" t="s">
        <v>615</v>
      </c>
    </row>
    <row r="554" spans="1:6" hidden="1" x14ac:dyDescent="0.25">
      <c r="A554" t="s">
        <v>462</v>
      </c>
      <c r="B554" t="s">
        <v>109</v>
      </c>
      <c r="C554" t="s">
        <v>565</v>
      </c>
      <c r="D554">
        <v>500</v>
      </c>
      <c r="E554" s="23">
        <v>2.87566666666666E+16</v>
      </c>
      <c r="F554" t="s">
        <v>615</v>
      </c>
    </row>
    <row r="555" spans="1:6" hidden="1" x14ac:dyDescent="0.25">
      <c r="A555" t="s">
        <v>462</v>
      </c>
      <c r="B555" t="s">
        <v>109</v>
      </c>
      <c r="C555" t="s">
        <v>566</v>
      </c>
      <c r="D555">
        <v>700</v>
      </c>
      <c r="E555" s="23">
        <v>3.59478947368421E+16</v>
      </c>
      <c r="F555" t="s">
        <v>615</v>
      </c>
    </row>
    <row r="556" spans="1:6" hidden="1" x14ac:dyDescent="0.25">
      <c r="A556" t="s">
        <v>462</v>
      </c>
      <c r="B556" t="s">
        <v>109</v>
      </c>
      <c r="C556" t="s">
        <v>567</v>
      </c>
      <c r="D556">
        <v>800</v>
      </c>
      <c r="E556" s="23">
        <v>4275333333333330</v>
      </c>
      <c r="F556" t="s">
        <v>615</v>
      </c>
    </row>
    <row r="557" spans="1:6" hidden="1" x14ac:dyDescent="0.25">
      <c r="A557" t="s">
        <v>462</v>
      </c>
      <c r="B557" t="s">
        <v>109</v>
      </c>
      <c r="C557" t="s">
        <v>568</v>
      </c>
      <c r="D557">
        <v>1000</v>
      </c>
      <c r="E557" s="23">
        <v>5065666666666660</v>
      </c>
      <c r="F557" t="s">
        <v>615</v>
      </c>
    </row>
    <row r="558" spans="1:6" hidden="1" x14ac:dyDescent="0.25">
      <c r="A558" t="s">
        <v>462</v>
      </c>
      <c r="B558" t="s">
        <v>109</v>
      </c>
      <c r="C558" t="s">
        <v>569</v>
      </c>
      <c r="D558">
        <v>300</v>
      </c>
      <c r="E558" s="23">
        <v>1615888888888880</v>
      </c>
      <c r="F558" t="s">
        <v>615</v>
      </c>
    </row>
    <row r="559" spans="1:6" hidden="1" x14ac:dyDescent="0.25">
      <c r="A559" t="s">
        <v>462</v>
      </c>
      <c r="B559" t="s">
        <v>109</v>
      </c>
      <c r="C559" t="s">
        <v>570</v>
      </c>
      <c r="D559">
        <v>500</v>
      </c>
      <c r="E559" s="23">
        <v>2.64244444444444E+16</v>
      </c>
      <c r="F559" t="s">
        <v>615</v>
      </c>
    </row>
    <row r="560" spans="1:6" hidden="1" x14ac:dyDescent="0.25">
      <c r="A560" t="s">
        <v>462</v>
      </c>
      <c r="B560" t="s">
        <v>109</v>
      </c>
      <c r="C560" t="s">
        <v>571</v>
      </c>
      <c r="D560">
        <v>700</v>
      </c>
      <c r="E560" t="s">
        <v>862</v>
      </c>
      <c r="F560" t="s">
        <v>615</v>
      </c>
    </row>
    <row r="561" spans="1:6" hidden="1" x14ac:dyDescent="0.25">
      <c r="A561" t="s">
        <v>462</v>
      </c>
      <c r="B561" t="s">
        <v>109</v>
      </c>
      <c r="C561" t="s">
        <v>572</v>
      </c>
      <c r="D561">
        <v>800</v>
      </c>
      <c r="E561" s="23">
        <v>3997461538461530</v>
      </c>
      <c r="F561" t="s">
        <v>615</v>
      </c>
    </row>
    <row r="562" spans="1:6" hidden="1" x14ac:dyDescent="0.25">
      <c r="A562" t="s">
        <v>462</v>
      </c>
      <c r="B562" t="s">
        <v>109</v>
      </c>
      <c r="C562" t="s">
        <v>573</v>
      </c>
      <c r="D562">
        <v>1000</v>
      </c>
      <c r="E562" t="s">
        <v>863</v>
      </c>
      <c r="F562" t="s">
        <v>615</v>
      </c>
    </row>
    <row r="563" spans="1:6" hidden="1" x14ac:dyDescent="0.25">
      <c r="A563" t="s">
        <v>462</v>
      </c>
      <c r="B563" t="s">
        <v>109</v>
      </c>
      <c r="C563" t="s">
        <v>574</v>
      </c>
      <c r="D563">
        <v>300</v>
      </c>
      <c r="E563" t="s">
        <v>864</v>
      </c>
      <c r="F563" t="s">
        <v>615</v>
      </c>
    </row>
    <row r="564" spans="1:6" hidden="1" x14ac:dyDescent="0.25">
      <c r="A564" t="s">
        <v>462</v>
      </c>
      <c r="B564" t="s">
        <v>109</v>
      </c>
      <c r="C564" t="s">
        <v>575</v>
      </c>
      <c r="D564">
        <v>500</v>
      </c>
      <c r="E564" t="s">
        <v>865</v>
      </c>
      <c r="F564" t="s">
        <v>615</v>
      </c>
    </row>
    <row r="565" spans="1:6" hidden="1" x14ac:dyDescent="0.25">
      <c r="A565" t="s">
        <v>462</v>
      </c>
      <c r="B565" t="s">
        <v>109</v>
      </c>
      <c r="C565" t="s">
        <v>576</v>
      </c>
      <c r="D565">
        <v>700</v>
      </c>
      <c r="E565" t="s">
        <v>866</v>
      </c>
      <c r="F565" t="s">
        <v>615</v>
      </c>
    </row>
    <row r="566" spans="1:6" hidden="1" x14ac:dyDescent="0.25">
      <c r="A566" t="s">
        <v>462</v>
      </c>
      <c r="B566" t="s">
        <v>109</v>
      </c>
      <c r="C566" t="s">
        <v>577</v>
      </c>
      <c r="D566">
        <v>800</v>
      </c>
      <c r="E566" s="23">
        <v>415264705882353</v>
      </c>
      <c r="F566" t="s">
        <v>615</v>
      </c>
    </row>
    <row r="567" spans="1:6" hidden="1" x14ac:dyDescent="0.25">
      <c r="A567" t="s">
        <v>462</v>
      </c>
      <c r="B567" t="s">
        <v>109</v>
      </c>
      <c r="C567" t="s">
        <v>578</v>
      </c>
      <c r="D567">
        <v>1000</v>
      </c>
      <c r="E567" s="23">
        <v>5360142857142850</v>
      </c>
      <c r="F567" t="s">
        <v>615</v>
      </c>
    </row>
    <row r="568" spans="1:6" hidden="1" x14ac:dyDescent="0.25">
      <c r="A568" t="s">
        <v>462</v>
      </c>
      <c r="B568" t="s">
        <v>109</v>
      </c>
      <c r="C568" t="s">
        <v>579</v>
      </c>
      <c r="D568">
        <v>300</v>
      </c>
      <c r="E568" s="23">
        <v>1.54015384615384E+16</v>
      </c>
      <c r="F568" t="s">
        <v>615</v>
      </c>
    </row>
    <row r="569" spans="1:6" hidden="1" x14ac:dyDescent="0.25">
      <c r="A569" t="s">
        <v>462</v>
      </c>
      <c r="B569" t="s">
        <v>109</v>
      </c>
      <c r="C569" t="s">
        <v>580</v>
      </c>
      <c r="D569">
        <v>500</v>
      </c>
      <c r="E569" s="23">
        <v>2651333333333330</v>
      </c>
      <c r="F569" t="s">
        <v>615</v>
      </c>
    </row>
    <row r="570" spans="1:6" hidden="1" x14ac:dyDescent="0.25">
      <c r="A570" t="s">
        <v>462</v>
      </c>
      <c r="B570" t="s">
        <v>109</v>
      </c>
      <c r="C570" t="s">
        <v>581</v>
      </c>
      <c r="D570">
        <v>700</v>
      </c>
      <c r="E570" s="23">
        <v>3.6863076923076896E+16</v>
      </c>
      <c r="F570" t="s">
        <v>615</v>
      </c>
    </row>
    <row r="571" spans="1:6" hidden="1" x14ac:dyDescent="0.25">
      <c r="A571" t="s">
        <v>462</v>
      </c>
      <c r="B571" t="s">
        <v>109</v>
      </c>
      <c r="C571" t="s">
        <v>582</v>
      </c>
      <c r="D571">
        <v>800</v>
      </c>
      <c r="E571" s="23">
        <v>4089166666666660</v>
      </c>
      <c r="F571" t="s">
        <v>615</v>
      </c>
    </row>
    <row r="572" spans="1:6" hidden="1" x14ac:dyDescent="0.25">
      <c r="A572" t="s">
        <v>462</v>
      </c>
      <c r="B572" t="s">
        <v>109</v>
      </c>
      <c r="C572" t="s">
        <v>583</v>
      </c>
      <c r="D572">
        <v>1000</v>
      </c>
      <c r="E572" s="23">
        <v>5135625</v>
      </c>
      <c r="F572" t="s">
        <v>615</v>
      </c>
    </row>
    <row r="573" spans="1:6" hidden="1" x14ac:dyDescent="0.25">
      <c r="A573" t="s">
        <v>462</v>
      </c>
      <c r="B573" t="s">
        <v>109</v>
      </c>
      <c r="C573" t="s">
        <v>584</v>
      </c>
      <c r="D573">
        <v>300</v>
      </c>
      <c r="E573" s="23">
        <v>1802142857142850</v>
      </c>
      <c r="F573" t="s">
        <v>615</v>
      </c>
    </row>
    <row r="574" spans="1:6" hidden="1" x14ac:dyDescent="0.25">
      <c r="A574" t="s">
        <v>462</v>
      </c>
      <c r="B574" t="s">
        <v>109</v>
      </c>
      <c r="C574" t="s">
        <v>585</v>
      </c>
      <c r="D574">
        <v>500</v>
      </c>
      <c r="E574" s="23">
        <v>2484153846153840</v>
      </c>
      <c r="F574" t="s">
        <v>615</v>
      </c>
    </row>
    <row r="575" spans="1:6" hidden="1" x14ac:dyDescent="0.25">
      <c r="A575" t="s">
        <v>462</v>
      </c>
      <c r="B575" t="s">
        <v>109</v>
      </c>
      <c r="C575" t="s">
        <v>586</v>
      </c>
      <c r="D575">
        <v>700</v>
      </c>
      <c r="E575" s="23">
        <v>3.40705882352941E+16</v>
      </c>
      <c r="F575" t="s">
        <v>615</v>
      </c>
    </row>
    <row r="576" spans="1:6" hidden="1" x14ac:dyDescent="0.25">
      <c r="A576" t="s">
        <v>462</v>
      </c>
      <c r="B576" t="s">
        <v>109</v>
      </c>
      <c r="C576" t="s">
        <v>587</v>
      </c>
      <c r="D576">
        <v>800</v>
      </c>
      <c r="E576" s="23">
        <v>4038875</v>
      </c>
      <c r="F576" t="s">
        <v>615</v>
      </c>
    </row>
    <row r="577" spans="1:6" hidden="1" x14ac:dyDescent="0.25">
      <c r="A577" t="s">
        <v>462</v>
      </c>
      <c r="B577" t="s">
        <v>109</v>
      </c>
      <c r="C577" t="s">
        <v>588</v>
      </c>
      <c r="D577">
        <v>1000</v>
      </c>
      <c r="E577" t="s">
        <v>867</v>
      </c>
      <c r="F577" t="s">
        <v>615</v>
      </c>
    </row>
    <row r="578" spans="1:6" hidden="1" x14ac:dyDescent="0.25">
      <c r="A578" t="s">
        <v>462</v>
      </c>
      <c r="B578" t="s">
        <v>109</v>
      </c>
      <c r="C578" t="s">
        <v>589</v>
      </c>
      <c r="D578">
        <v>300</v>
      </c>
      <c r="E578" t="s">
        <v>868</v>
      </c>
      <c r="F578" t="s">
        <v>615</v>
      </c>
    </row>
    <row r="579" spans="1:6" hidden="1" x14ac:dyDescent="0.25">
      <c r="A579" t="s">
        <v>462</v>
      </c>
      <c r="B579" t="s">
        <v>109</v>
      </c>
      <c r="C579" t="s">
        <v>590</v>
      </c>
      <c r="D579">
        <v>500</v>
      </c>
      <c r="E579" t="s">
        <v>869</v>
      </c>
      <c r="F579" t="s">
        <v>615</v>
      </c>
    </row>
    <row r="580" spans="1:6" hidden="1" x14ac:dyDescent="0.25">
      <c r="A580" t="s">
        <v>462</v>
      </c>
      <c r="B580" t="s">
        <v>109</v>
      </c>
      <c r="C580" t="s">
        <v>591</v>
      </c>
      <c r="D580">
        <v>700</v>
      </c>
      <c r="E580" s="23">
        <v>3.54466666666666E+16</v>
      </c>
      <c r="F580" t="s">
        <v>615</v>
      </c>
    </row>
    <row r="581" spans="1:6" hidden="1" x14ac:dyDescent="0.25">
      <c r="A581" t="s">
        <v>462</v>
      </c>
      <c r="B581" t="s">
        <v>109</v>
      </c>
      <c r="C581" t="s">
        <v>592</v>
      </c>
      <c r="D581">
        <v>800</v>
      </c>
      <c r="E581" s="23">
        <v>3933923076923070</v>
      </c>
      <c r="F581" t="s">
        <v>615</v>
      </c>
    </row>
    <row r="582" spans="1:6" hidden="1" x14ac:dyDescent="0.25">
      <c r="A582" t="s">
        <v>462</v>
      </c>
      <c r="B582" t="s">
        <v>109</v>
      </c>
      <c r="C582" t="s">
        <v>593</v>
      </c>
      <c r="D582">
        <v>1000</v>
      </c>
      <c r="E582" s="23">
        <v>5332117647058820</v>
      </c>
      <c r="F582" t="s">
        <v>615</v>
      </c>
    </row>
    <row r="583" spans="1:6" hidden="1" x14ac:dyDescent="0.25">
      <c r="A583" t="s">
        <v>462</v>
      </c>
      <c r="B583" t="s">
        <v>109</v>
      </c>
      <c r="C583" t="s">
        <v>594</v>
      </c>
      <c r="D583">
        <v>300</v>
      </c>
      <c r="E583" s="23">
        <v>1.65928571428571E+16</v>
      </c>
      <c r="F583" t="s">
        <v>615</v>
      </c>
    </row>
    <row r="584" spans="1:6" hidden="1" x14ac:dyDescent="0.25">
      <c r="A584" t="s">
        <v>462</v>
      </c>
      <c r="B584" t="s">
        <v>109</v>
      </c>
      <c r="C584" t="s">
        <v>595</v>
      </c>
      <c r="D584">
        <v>500</v>
      </c>
      <c r="E584" s="23">
        <v>25609375</v>
      </c>
      <c r="F584" t="s">
        <v>615</v>
      </c>
    </row>
    <row r="585" spans="1:6" hidden="1" x14ac:dyDescent="0.25">
      <c r="A585" t="s">
        <v>462</v>
      </c>
      <c r="B585" t="s">
        <v>109</v>
      </c>
      <c r="C585" t="s">
        <v>596</v>
      </c>
      <c r="D585">
        <v>700</v>
      </c>
      <c r="E585" t="s">
        <v>870</v>
      </c>
      <c r="F585" t="s">
        <v>615</v>
      </c>
    </row>
    <row r="586" spans="1:6" hidden="1" x14ac:dyDescent="0.25">
      <c r="A586" t="s">
        <v>462</v>
      </c>
      <c r="B586" t="s">
        <v>109</v>
      </c>
      <c r="C586" t="s">
        <v>597</v>
      </c>
      <c r="D586">
        <v>800</v>
      </c>
      <c r="E586" t="s">
        <v>851</v>
      </c>
      <c r="F586" t="s">
        <v>615</v>
      </c>
    </row>
    <row r="587" spans="1:6" hidden="1" x14ac:dyDescent="0.25">
      <c r="A587" t="s">
        <v>462</v>
      </c>
      <c r="B587" t="s">
        <v>109</v>
      </c>
      <c r="C587" t="s">
        <v>598</v>
      </c>
      <c r="D587">
        <v>1000</v>
      </c>
      <c r="E587" t="s">
        <v>871</v>
      </c>
      <c r="F587" t="s">
        <v>615</v>
      </c>
    </row>
    <row r="588" spans="1:6" hidden="1" x14ac:dyDescent="0.25">
      <c r="A588" t="s">
        <v>462</v>
      </c>
      <c r="B588" t="s">
        <v>109</v>
      </c>
      <c r="C588" t="s">
        <v>599</v>
      </c>
      <c r="D588">
        <v>300</v>
      </c>
      <c r="E588" s="23">
        <v>1.58166666666666E+16</v>
      </c>
      <c r="F588" t="s">
        <v>615</v>
      </c>
    </row>
    <row r="589" spans="1:6" hidden="1" x14ac:dyDescent="0.25">
      <c r="A589" t="s">
        <v>462</v>
      </c>
      <c r="B589" t="s">
        <v>109</v>
      </c>
      <c r="C589" t="s">
        <v>600</v>
      </c>
      <c r="D589">
        <v>500</v>
      </c>
      <c r="E589" s="23">
        <v>2737153846153840</v>
      </c>
      <c r="F589" t="s">
        <v>615</v>
      </c>
    </row>
    <row r="590" spans="1:6" hidden="1" x14ac:dyDescent="0.25">
      <c r="A590" t="s">
        <v>462</v>
      </c>
      <c r="B590" t="s">
        <v>109</v>
      </c>
      <c r="C590" t="s">
        <v>601</v>
      </c>
      <c r="D590">
        <v>700</v>
      </c>
      <c r="E590" t="s">
        <v>872</v>
      </c>
      <c r="F590" t="s">
        <v>615</v>
      </c>
    </row>
    <row r="591" spans="1:6" hidden="1" x14ac:dyDescent="0.25">
      <c r="A591" t="s">
        <v>462</v>
      </c>
      <c r="B591" t="s">
        <v>109</v>
      </c>
      <c r="C591" t="s">
        <v>602</v>
      </c>
      <c r="D591">
        <v>800</v>
      </c>
      <c r="E591" s="23">
        <v>4154857142857140</v>
      </c>
      <c r="F591" t="s">
        <v>615</v>
      </c>
    </row>
    <row r="592" spans="1:6" hidden="1" x14ac:dyDescent="0.25">
      <c r="A592" t="s">
        <v>462</v>
      </c>
      <c r="B592" t="s">
        <v>109</v>
      </c>
      <c r="C592" t="s">
        <v>603</v>
      </c>
      <c r="D592">
        <v>1000</v>
      </c>
      <c r="E592" t="s">
        <v>873</v>
      </c>
      <c r="F592" t="s">
        <v>615</v>
      </c>
    </row>
    <row r="593" spans="1:6" hidden="1" x14ac:dyDescent="0.25">
      <c r="A593" t="s">
        <v>462</v>
      </c>
      <c r="B593" t="s">
        <v>109</v>
      </c>
      <c r="C593" t="s">
        <v>604</v>
      </c>
      <c r="D593">
        <v>300</v>
      </c>
      <c r="E593" s="23">
        <v>1.51106666666666E+16</v>
      </c>
      <c r="F593" t="s">
        <v>615</v>
      </c>
    </row>
    <row r="594" spans="1:6" hidden="1" x14ac:dyDescent="0.25">
      <c r="A594" t="s">
        <v>462</v>
      </c>
      <c r="B594" t="s">
        <v>109</v>
      </c>
      <c r="C594" t="s">
        <v>605</v>
      </c>
      <c r="D594">
        <v>500</v>
      </c>
      <c r="E594" s="23">
        <v>2.70733333333333E+16</v>
      </c>
      <c r="F594" t="s">
        <v>615</v>
      </c>
    </row>
    <row r="595" spans="1:6" hidden="1" x14ac:dyDescent="0.25">
      <c r="A595" t="s">
        <v>462</v>
      </c>
      <c r="B595" t="s">
        <v>109</v>
      </c>
      <c r="C595" t="s">
        <v>606</v>
      </c>
      <c r="D595">
        <v>700</v>
      </c>
      <c r="E595" s="23">
        <v>3879705882352940</v>
      </c>
      <c r="F595" t="s">
        <v>615</v>
      </c>
    </row>
    <row r="596" spans="1:6" hidden="1" x14ac:dyDescent="0.25">
      <c r="A596" t="s">
        <v>462</v>
      </c>
      <c r="B596" t="s">
        <v>109</v>
      </c>
      <c r="C596" t="s">
        <v>607</v>
      </c>
      <c r="D596">
        <v>800</v>
      </c>
      <c r="E596" s="23">
        <v>4366333333333330</v>
      </c>
      <c r="F596" t="s">
        <v>615</v>
      </c>
    </row>
    <row r="597" spans="1:6" hidden="1" x14ac:dyDescent="0.25">
      <c r="A597" t="s">
        <v>462</v>
      </c>
      <c r="B597" t="s">
        <v>109</v>
      </c>
      <c r="C597" t="s">
        <v>608</v>
      </c>
      <c r="D597">
        <v>1000</v>
      </c>
      <c r="E597" s="23">
        <v>5146909090909090</v>
      </c>
      <c r="F597" t="s">
        <v>615</v>
      </c>
    </row>
    <row r="598" spans="1:6" hidden="1" x14ac:dyDescent="0.25">
      <c r="A598" t="s">
        <v>462</v>
      </c>
      <c r="B598" t="s">
        <v>109</v>
      </c>
      <c r="C598" t="s">
        <v>609</v>
      </c>
      <c r="D598">
        <v>300</v>
      </c>
      <c r="E598" s="23">
        <v>1.57530769230769E+16</v>
      </c>
      <c r="F598" t="s">
        <v>615</v>
      </c>
    </row>
    <row r="599" spans="1:6" hidden="1" x14ac:dyDescent="0.25">
      <c r="A599" t="s">
        <v>462</v>
      </c>
      <c r="B599" t="s">
        <v>109</v>
      </c>
      <c r="C599" t="s">
        <v>610</v>
      </c>
      <c r="D599">
        <v>500</v>
      </c>
      <c r="E599" s="23">
        <v>2568285714285710</v>
      </c>
      <c r="F599" t="s">
        <v>615</v>
      </c>
    </row>
    <row r="600" spans="1:6" hidden="1" x14ac:dyDescent="0.25">
      <c r="A600" t="s">
        <v>462</v>
      </c>
      <c r="B600" t="s">
        <v>109</v>
      </c>
      <c r="C600" t="s">
        <v>611</v>
      </c>
      <c r="D600">
        <v>700</v>
      </c>
      <c r="E600" s="23">
        <v>3685333333333330</v>
      </c>
      <c r="F600" t="s">
        <v>615</v>
      </c>
    </row>
    <row r="601" spans="1:6" hidden="1" x14ac:dyDescent="0.25">
      <c r="A601" t="s">
        <v>462</v>
      </c>
      <c r="B601" t="s">
        <v>109</v>
      </c>
      <c r="C601" t="s">
        <v>612</v>
      </c>
      <c r="D601">
        <v>800</v>
      </c>
      <c r="E601" s="23">
        <v>4045666666666660</v>
      </c>
      <c r="F601" t="s">
        <v>615</v>
      </c>
    </row>
  </sheetData>
  <autoFilter ref="A1:F601" xr:uid="{1292E3A5-F16A-4AD0-8825-7199CD120199}">
    <filterColumn colId="0">
      <filters>
        <filter val="scenario 1"/>
      </filters>
    </filterColumn>
    <filterColumn colId="1">
      <filters>
        <filter val="correlated"/>
      </filters>
    </filterColumn>
    <filterColumn colId="3">
      <filters>
        <filter val="3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FD95-110C-44A2-9EE5-0D7CF56FD2C1}">
  <dimension ref="A1:O67"/>
  <sheetViews>
    <sheetView tabSelected="1" topLeftCell="A6" zoomScale="55" zoomScaleNormal="55" workbookViewId="0">
      <selection sqref="A1:O67"/>
    </sheetView>
  </sheetViews>
  <sheetFormatPr defaultRowHeight="15" x14ac:dyDescent="0.25"/>
  <cols>
    <col min="1" max="1" width="34.28515625" customWidth="1"/>
    <col min="2" max="8" width="22.85546875" customWidth="1"/>
  </cols>
  <sheetData>
    <row r="1" spans="1:8" ht="18.75" x14ac:dyDescent="0.3">
      <c r="A1" s="2" t="s">
        <v>874</v>
      </c>
    </row>
    <row r="3" spans="1:8" ht="15.75" x14ac:dyDescent="0.25">
      <c r="A3" s="3" t="s">
        <v>875</v>
      </c>
    </row>
    <row r="4" spans="1:8" x14ac:dyDescent="0.25">
      <c r="A4" s="1" t="s">
        <v>876</v>
      </c>
      <c r="B4">
        <f>COUNTA(results_dp!A2:A601)</f>
        <v>600</v>
      </c>
    </row>
    <row r="5" spans="1:8" x14ac:dyDescent="0.25">
      <c r="A5" s="1" t="s">
        <v>877</v>
      </c>
      <c r="B5" s="9" cm="1">
        <f t="array" ref="B5">SUMPRODUCT((results_dp!E2:E601&lt;&gt;results_gurobi!E2:E601)*1)</f>
        <v>0</v>
      </c>
    </row>
    <row r="6" spans="1:8" x14ac:dyDescent="0.25">
      <c r="A6" s="1" t="s">
        <v>878</v>
      </c>
      <c r="B6" s="4" t="str">
        <f>IF(B5=0,"✅ All objective values are identical","⚠️ "&amp;B5&amp;" mismatches found")</f>
        <v>✅ All objective values are identical</v>
      </c>
    </row>
    <row r="8" spans="1:8" ht="15.75" x14ac:dyDescent="0.25">
      <c r="A8" s="3" t="s">
        <v>879</v>
      </c>
    </row>
    <row r="9" spans="1:8" x14ac:dyDescent="0.25">
      <c r="A9" s="5" t="s">
        <v>880</v>
      </c>
      <c r="B9" s="6" t="s">
        <v>881</v>
      </c>
      <c r="C9" s="6" t="s">
        <v>882</v>
      </c>
      <c r="D9" s="6" t="s">
        <v>883</v>
      </c>
      <c r="E9" s="6" t="s">
        <v>884</v>
      </c>
      <c r="F9" s="6" t="s">
        <v>885</v>
      </c>
      <c r="G9" s="6" t="s">
        <v>886</v>
      </c>
    </row>
    <row r="10" spans="1:8" x14ac:dyDescent="0.25">
      <c r="A10" s="1" t="s">
        <v>887</v>
      </c>
      <c r="B10" s="7">
        <f>AVERAGE(results_dp!F2:F601)</f>
        <v>3.9850166666666631</v>
      </c>
      <c r="C10" s="7">
        <f>MEDIAN(results_dp!F2:F601)</f>
        <v>2.2050000000000001</v>
      </c>
      <c r="D10" s="7">
        <f>STDEV(results_dp!F2:F601)</f>
        <v>4.9130502512194258</v>
      </c>
      <c r="E10" s="7">
        <f>MIN(results_dp!F2:F601)</f>
        <v>0.06</v>
      </c>
      <c r="F10" s="7">
        <f>MAX(results_dp!F2:F601)</f>
        <v>24.01</v>
      </c>
      <c r="G10" s="10">
        <f>COUNTA(results_dp!F2:F601)</f>
        <v>600</v>
      </c>
    </row>
    <row r="11" spans="1:8" x14ac:dyDescent="0.25">
      <c r="A11" s="1" t="s">
        <v>888</v>
      </c>
      <c r="B11" s="8">
        <f>AVERAGE(results_gurobi!F2:F601)</f>
        <v>8.9833333333332235E-3</v>
      </c>
      <c r="C11" s="8">
        <f>MEDIAN(results_gurobi!F2:F601)</f>
        <v>0.01</v>
      </c>
      <c r="D11" s="8">
        <f>STDEV(results_gurobi!F2:F601)</f>
        <v>4.708503537731828E-3</v>
      </c>
      <c r="E11" s="8">
        <f>MIN(results_gurobi!F2:F601)</f>
        <v>0</v>
      </c>
      <c r="F11" s="8">
        <f>MAX(results_gurobi!F2:F601)</f>
        <v>0.05</v>
      </c>
      <c r="G11" s="10">
        <f>COUNTA(results_gurobi!F2:F601)</f>
        <v>600</v>
      </c>
    </row>
    <row r="12" spans="1:8" x14ac:dyDescent="0.25">
      <c r="A12" s="9" t="s">
        <v>889</v>
      </c>
      <c r="B12" s="11">
        <f>B10/B11</f>
        <v>443.60111317254677</v>
      </c>
      <c r="C12" s="11">
        <f>C10/C11</f>
        <v>220.5</v>
      </c>
    </row>
    <row r="14" spans="1:8" ht="15.75" x14ac:dyDescent="0.25">
      <c r="A14" s="3" t="s">
        <v>890</v>
      </c>
    </row>
    <row r="15" spans="1:8" x14ac:dyDescent="0.25">
      <c r="A15" s="5" t="s">
        <v>891</v>
      </c>
      <c r="B15" s="6" t="s">
        <v>892</v>
      </c>
      <c r="C15" s="6" t="s">
        <v>893</v>
      </c>
      <c r="D15" s="6" t="s">
        <v>894</v>
      </c>
      <c r="E15" s="6" t="s">
        <v>895</v>
      </c>
      <c r="F15" s="6" t="s">
        <v>896</v>
      </c>
      <c r="G15" s="6" t="s">
        <v>897</v>
      </c>
      <c r="H15" s="6" t="s">
        <v>898</v>
      </c>
    </row>
    <row r="16" spans="1:8" x14ac:dyDescent="0.25">
      <c r="A16" t="s">
        <v>6</v>
      </c>
      <c r="B16" s="10">
        <f>COUNTIF(results_dp!A2:A601,A16)</f>
        <v>150</v>
      </c>
      <c r="C16" s="7">
        <f>AVERAGEIF(results_dp!A2:A601,A16,results_dp!F2:F601)</f>
        <v>1.9146000000000003</v>
      </c>
      <c r="D16" s="7" cm="1">
        <f t="array" ref="D16">MEDIAN(IF(results_dp!A2:A601=A16,results_dp!F2:F601))</f>
        <v>1.65</v>
      </c>
      <c r="E16" s="8">
        <f>AVERAGEIF(results_gurobi!A2:A601,A16,results_gurobi!F2:F601)</f>
        <v>9.7333333333333404E-3</v>
      </c>
      <c r="F16" s="8" cm="1">
        <f t="array" ref="F16">MEDIAN(IF(results_gurobi!A2:A601=A16,results_gurobi!F2:F601))</f>
        <v>0.01</v>
      </c>
      <c r="G16" s="12">
        <f t="shared" ref="G16:H19" si="0">C16/E16</f>
        <v>196.70547945205467</v>
      </c>
      <c r="H16" s="12">
        <f t="shared" si="0"/>
        <v>165</v>
      </c>
    </row>
    <row r="17" spans="1:8" x14ac:dyDescent="0.25">
      <c r="A17" t="s">
        <v>160</v>
      </c>
      <c r="B17" s="10">
        <f>COUNTIF(results_dp!A2:A601,A17)</f>
        <v>150</v>
      </c>
      <c r="C17" s="7">
        <f>AVERAGEIF(results_dp!A2:A601,A17,results_dp!F2:F601)</f>
        <v>3.3066666666666658</v>
      </c>
      <c r="D17" s="7" cm="1">
        <f t="array" ref="D17">MEDIAN(IF(results_dp!A2:A601=A17,results_dp!F2:F601))</f>
        <v>3.67</v>
      </c>
      <c r="E17" s="8">
        <f>AVERAGEIF(results_gurobi!A2:A601,A17,results_gurobi!F2:F601)</f>
        <v>8.2000000000000059E-3</v>
      </c>
      <c r="F17" s="8" cm="1">
        <f t="array" ref="F17">MEDIAN(IF(results_gurobi!A2:A601=A17,results_gurobi!F2:F601))</f>
        <v>0.01</v>
      </c>
      <c r="G17" s="12">
        <f t="shared" si="0"/>
        <v>403.2520325203248</v>
      </c>
      <c r="H17" s="12">
        <f t="shared" si="0"/>
        <v>367</v>
      </c>
    </row>
    <row r="18" spans="1:8" x14ac:dyDescent="0.25">
      <c r="A18" t="s">
        <v>311</v>
      </c>
      <c r="B18" s="10">
        <f>COUNTIF(results_dp!A2:A601,A18)</f>
        <v>150</v>
      </c>
      <c r="C18" s="7">
        <f>AVERAGEIF(results_dp!A2:A601,A18,results_dp!F2:F601)</f>
        <v>3.0452666666666666</v>
      </c>
      <c r="D18" s="7" cm="1">
        <f t="array" ref="D18">MEDIAN(IF(results_dp!A2:A601=A18,results_dp!F2:F601))</f>
        <v>2.0699999999999998</v>
      </c>
      <c r="E18" s="8">
        <f>AVERAGEIF(results_gurobi!A2:A601,A18,results_gurobi!F2:F601)</f>
        <v>9.3333333333333393E-3</v>
      </c>
      <c r="F18" s="8" cm="1">
        <f t="array" ref="F18">MEDIAN(IF(results_gurobi!A2:A601=A18,results_gurobi!F2:F601))</f>
        <v>0.01</v>
      </c>
      <c r="G18" s="12">
        <f t="shared" si="0"/>
        <v>326.27857142857118</v>
      </c>
      <c r="H18" s="12">
        <f t="shared" si="0"/>
        <v>206.99999999999997</v>
      </c>
    </row>
    <row r="19" spans="1:8" x14ac:dyDescent="0.25">
      <c r="A19" t="s">
        <v>462</v>
      </c>
      <c r="B19" s="10">
        <f>COUNTIF(results_dp!A2:A601,A19)</f>
        <v>150</v>
      </c>
      <c r="C19" s="7">
        <f>AVERAGEIF(results_dp!A2:A601,A19,results_dp!F2:F601)</f>
        <v>7.6735333333333298</v>
      </c>
      <c r="D19" s="7" cm="1">
        <f t="array" ref="D19">MEDIAN(IF(results_dp!A2:A601=A19,results_dp!F2:F601))</f>
        <v>5.42</v>
      </c>
      <c r="E19" s="8">
        <f>AVERAGEIF(results_gurobi!A2:A601,A19,results_gurobi!F2:F601)</f>
        <v>8.6666666666666732E-3</v>
      </c>
      <c r="F19" s="8" cm="1">
        <f t="array" ref="F19">MEDIAN(IF(results_gurobi!A2:A601=A19,results_gurobi!F2:F601))</f>
        <v>0.01</v>
      </c>
      <c r="G19" s="12">
        <f t="shared" si="0"/>
        <v>885.40769230769126</v>
      </c>
      <c r="H19" s="12">
        <f t="shared" si="0"/>
        <v>542</v>
      </c>
    </row>
    <row r="21" spans="1:8" ht="15.75" x14ac:dyDescent="0.25">
      <c r="A21" s="3" t="s">
        <v>899</v>
      </c>
    </row>
    <row r="22" spans="1:8" x14ac:dyDescent="0.25">
      <c r="A22" s="5" t="s">
        <v>900</v>
      </c>
      <c r="B22" s="6" t="s">
        <v>892</v>
      </c>
      <c r="C22" s="6" t="s">
        <v>893</v>
      </c>
      <c r="D22" s="6" t="s">
        <v>894</v>
      </c>
      <c r="E22" s="6" t="s">
        <v>895</v>
      </c>
      <c r="F22" s="6" t="s">
        <v>896</v>
      </c>
      <c r="G22" s="6" t="s">
        <v>897</v>
      </c>
      <c r="H22" s="6" t="s">
        <v>898</v>
      </c>
    </row>
    <row r="23" spans="1:8" x14ac:dyDescent="0.25">
      <c r="A23" t="s">
        <v>7</v>
      </c>
      <c r="B23" s="10">
        <f>COUNTIF(results_dp!B2:B601,A23)</f>
        <v>200</v>
      </c>
      <c r="C23" s="7">
        <f>AVERAGEIF(results_dp!B2:B601,A23,results_dp!F2:F601)</f>
        <v>3.9876999999999985</v>
      </c>
      <c r="D23" s="7" cm="1">
        <f t="array" ref="D23">MEDIAN(IF(results_dp!B2:B601=A23,results_dp!F2:F601))</f>
        <v>2.2949999999999999</v>
      </c>
      <c r="E23" s="8">
        <f>AVERAGEIF(results_gurobi!B2:B601,A23,results_gurobi!F2:F601)</f>
        <v>9.5500000000000081E-3</v>
      </c>
      <c r="F23" s="8" cm="1">
        <f t="array" ref="F23">MEDIAN(IF(results_gurobi!B2:B601=A23,results_gurobi!F2:F601))</f>
        <v>0.01</v>
      </c>
      <c r="G23" s="12">
        <f t="shared" ref="G23:H25" si="1">C23/E23</f>
        <v>417.56020942408327</v>
      </c>
      <c r="H23" s="12">
        <f t="shared" si="1"/>
        <v>229.5</v>
      </c>
    </row>
    <row r="24" spans="1:8" x14ac:dyDescent="0.25">
      <c r="A24" t="s">
        <v>58</v>
      </c>
      <c r="B24" s="10">
        <f>COUNTIF(results_dp!B2:B601,A24)</f>
        <v>200</v>
      </c>
      <c r="C24" s="7">
        <f>AVERAGEIF(results_dp!B2:B601,A24,results_dp!F2:F601)</f>
        <v>3.9501000000000004</v>
      </c>
      <c r="D24" s="7" cm="1">
        <f t="array" ref="D24">MEDIAN(IF(results_dp!B2:B601=A24,results_dp!F2:F601))</f>
        <v>2.14</v>
      </c>
      <c r="E24" s="8">
        <f>AVERAGEIF(results_gurobi!B2:B601,A24,results_gurobi!F2:F601)</f>
        <v>9.1000000000000074E-3</v>
      </c>
      <c r="F24" s="8" cm="1">
        <f t="array" ref="F24">MEDIAN(IF(results_gurobi!B2:B601=A24,results_gurobi!F2:F601))</f>
        <v>0.01</v>
      </c>
      <c r="G24" s="12">
        <f t="shared" si="1"/>
        <v>434.07692307692275</v>
      </c>
      <c r="H24" s="12">
        <f t="shared" si="1"/>
        <v>214</v>
      </c>
    </row>
    <row r="25" spans="1:8" x14ac:dyDescent="0.25">
      <c r="A25" t="s">
        <v>109</v>
      </c>
      <c r="B25" s="10">
        <f>COUNTIF(results_dp!B2:B601,A25)</f>
        <v>200</v>
      </c>
      <c r="C25" s="7">
        <f>AVERAGEIF(results_dp!B2:B601,A25,results_dp!F2:F601)</f>
        <v>4.0172499999999989</v>
      </c>
      <c r="D25" s="7" cm="1">
        <f t="array" ref="D25">MEDIAN(IF(results_dp!B2:B601=A25,results_dp!F2:F601))</f>
        <v>2.2549999999999999</v>
      </c>
      <c r="E25" s="8">
        <f>AVERAGEIF(results_gurobi!B2:B601,A25,results_gurobi!F2:F601)</f>
        <v>8.3000000000000053E-3</v>
      </c>
      <c r="F25" s="8" cm="1">
        <f t="array" ref="F25">MEDIAN(IF(results_gurobi!B2:B601=A25,results_gurobi!F2:F601))</f>
        <v>0.01</v>
      </c>
      <c r="G25" s="12">
        <f t="shared" si="1"/>
        <v>484.00602409638509</v>
      </c>
      <c r="H25" s="12">
        <f t="shared" si="1"/>
        <v>225.49999999999997</v>
      </c>
    </row>
    <row r="27" spans="1:8" ht="15.75" x14ac:dyDescent="0.25">
      <c r="A27" s="3" t="s">
        <v>901</v>
      </c>
    </row>
    <row r="29" spans="1:8" x14ac:dyDescent="0.25">
      <c r="A29" s="13" t="s">
        <v>902</v>
      </c>
    </row>
    <row r="30" spans="1:8" x14ac:dyDescent="0.25">
      <c r="A30" s="14"/>
      <c r="B30" s="6" t="s">
        <v>7</v>
      </c>
      <c r="C30" s="6" t="s">
        <v>58</v>
      </c>
      <c r="D30" s="6" t="s">
        <v>109</v>
      </c>
    </row>
    <row r="31" spans="1:8" x14ac:dyDescent="0.25">
      <c r="A31" s="5" t="s">
        <v>6</v>
      </c>
      <c r="B31" s="7">
        <f>AVERAGEIFS(results_dp!F2:F601,results_dp!A2:A601,A31,results_dp!B2:B601,B30)</f>
        <v>1.8555999999999993</v>
      </c>
      <c r="C31" s="7">
        <f>AVERAGEIFS(results_dp!F2:F601,results_dp!A2:A601,A31,results_dp!B2:B601,C30)</f>
        <v>1.9450000000000001</v>
      </c>
      <c r="D31" s="7">
        <f>AVERAGEIFS(results_dp!F2:F601,results_dp!A2:A601,A31,results_dp!B2:B601,D30)</f>
        <v>1.9432</v>
      </c>
    </row>
    <row r="32" spans="1:8" x14ac:dyDescent="0.25">
      <c r="A32" s="5" t="s">
        <v>160</v>
      </c>
      <c r="B32" s="7">
        <f>AVERAGEIFS(results_dp!F2:F601,results_dp!A2:A601,A32,results_dp!B2:B601,B30)</f>
        <v>3.240600000000001</v>
      </c>
      <c r="C32" s="7">
        <f>AVERAGEIFS(results_dp!F2:F601,results_dp!A2:A601,A32,results_dp!B2:B601,C30)</f>
        <v>3.2869999999999999</v>
      </c>
      <c r="D32" s="7">
        <f>AVERAGEIFS(results_dp!F2:F601,results_dp!A2:A601,A32,results_dp!B2:B601,D30)</f>
        <v>3.3924000000000007</v>
      </c>
    </row>
    <row r="33" spans="1:4" x14ac:dyDescent="0.25">
      <c r="A33" s="5" t="s">
        <v>311</v>
      </c>
      <c r="B33" s="7">
        <f>AVERAGEIFS(results_dp!F2:F601,results_dp!A2:A601,A33,results_dp!B2:B601,B30)</f>
        <v>3.1103999999999989</v>
      </c>
      <c r="C33" s="7">
        <f>AVERAGEIFS(results_dp!F2:F601,results_dp!A2:A601,A33,results_dp!B2:B601,C30)</f>
        <v>2.8956000000000004</v>
      </c>
      <c r="D33" s="7">
        <f>AVERAGEIFS(results_dp!F2:F601,results_dp!A2:A601,A33,results_dp!B2:B601,D30)</f>
        <v>3.1298000000000004</v>
      </c>
    </row>
    <row r="34" spans="1:4" x14ac:dyDescent="0.25">
      <c r="A34" s="5" t="s">
        <v>462</v>
      </c>
      <c r="B34" s="7">
        <f>AVERAGEIFS(results_dp!F2:F601,results_dp!A2:A601,A34,results_dp!B2:B601,B30)</f>
        <v>7.7441999999999993</v>
      </c>
      <c r="C34" s="7">
        <f>AVERAGEIFS(results_dp!F2:F601,results_dp!A2:A601,A34,results_dp!B2:B601,C30)</f>
        <v>7.6728000000000005</v>
      </c>
      <c r="D34" s="7">
        <f>AVERAGEIFS(results_dp!F2:F601,results_dp!A2:A601,A34,results_dp!B2:B601,D30)</f>
        <v>7.6036000000000037</v>
      </c>
    </row>
    <row r="36" spans="1:4" x14ac:dyDescent="0.25">
      <c r="A36" s="15" t="s">
        <v>903</v>
      </c>
    </row>
    <row r="37" spans="1:4" x14ac:dyDescent="0.25">
      <c r="A37" s="14"/>
      <c r="B37" s="6" t="s">
        <v>7</v>
      </c>
      <c r="C37" s="6" t="s">
        <v>58</v>
      </c>
      <c r="D37" s="6" t="s">
        <v>109</v>
      </c>
    </row>
    <row r="38" spans="1:4" x14ac:dyDescent="0.25">
      <c r="A38" s="5" t="s">
        <v>6</v>
      </c>
      <c r="B38" s="8">
        <f>AVERAGEIFS(results_gurobi!F2:F601,results_gurobi!A2:A601,A38,results_gurobi!B2:B601,B37)</f>
        <v>1.0400000000000005E-2</v>
      </c>
      <c r="C38" s="8">
        <f>AVERAGEIFS(results_gurobi!F2:F601,results_gurobi!A2:A601,A38,results_gurobi!B2:B601,C37)</f>
        <v>9.200000000000005E-3</v>
      </c>
      <c r="D38" s="8">
        <f>AVERAGEIFS(results_gurobi!F2:F601,results_gurobi!A2:A601,A38,results_gurobi!B2:B601,D37)</f>
        <v>9.6000000000000026E-3</v>
      </c>
    </row>
    <row r="39" spans="1:4" x14ac:dyDescent="0.25">
      <c r="A39" s="5" t="s">
        <v>160</v>
      </c>
      <c r="B39" s="8">
        <f>AVERAGEIFS(results_gurobi!F2:F601,results_gurobi!A2:A601,A39,results_gurobi!B2:B601,B37)</f>
        <v>8.800000000000004E-3</v>
      </c>
      <c r="C39" s="8">
        <f>AVERAGEIFS(results_gurobi!F2:F601,results_gurobi!A2:A601,A39,results_gurobi!B2:B601,C37)</f>
        <v>8.2000000000000042E-3</v>
      </c>
      <c r="D39" s="8">
        <f>AVERAGEIFS(results_gurobi!F2:F601,results_gurobi!A2:A601,A39,results_gurobi!B2:B601,D37)</f>
        <v>7.6000000000000035E-3</v>
      </c>
    </row>
    <row r="40" spans="1:4" x14ac:dyDescent="0.25">
      <c r="A40" s="5" t="s">
        <v>311</v>
      </c>
      <c r="B40" s="8">
        <f>AVERAGEIFS(results_gurobi!F2:F601,results_gurobi!A2:A601,A40,results_gurobi!B2:B601,B37)</f>
        <v>9.8000000000000049E-3</v>
      </c>
      <c r="C40" s="8">
        <f>AVERAGEIFS(results_gurobi!F2:F601,results_gurobi!A2:A601,A40,results_gurobi!B2:B601,C37)</f>
        <v>1.0000000000000004E-2</v>
      </c>
      <c r="D40" s="8">
        <f>AVERAGEIFS(results_gurobi!F2:F601,results_gurobi!A2:A601,A40,results_gurobi!B2:B601,D37)</f>
        <v>8.2000000000000042E-3</v>
      </c>
    </row>
    <row r="41" spans="1:4" x14ac:dyDescent="0.25">
      <c r="A41" s="5" t="s">
        <v>462</v>
      </c>
      <c r="B41" s="8">
        <f>AVERAGEIFS(results_gurobi!F2:F601,results_gurobi!A2:A601,A41,results_gurobi!B2:B601,B37)</f>
        <v>9.200000000000005E-3</v>
      </c>
      <c r="C41" s="8">
        <f>AVERAGEIFS(results_gurobi!F2:F601,results_gurobi!A2:A601,A41,results_gurobi!B2:B601,C37)</f>
        <v>9.0000000000000045E-3</v>
      </c>
      <c r="D41" s="8">
        <f>AVERAGEIFS(results_gurobi!F2:F601,results_gurobi!A2:A601,A41,results_gurobi!B2:B601,D37)</f>
        <v>7.800000000000004E-3</v>
      </c>
    </row>
    <row r="43" spans="1:4" x14ac:dyDescent="0.25">
      <c r="A43" s="16" t="s">
        <v>889</v>
      </c>
    </row>
    <row r="44" spans="1:4" x14ac:dyDescent="0.25">
      <c r="A44" s="14"/>
      <c r="B44" s="6" t="s">
        <v>7</v>
      </c>
      <c r="C44" s="6" t="s">
        <v>58</v>
      </c>
      <c r="D44" s="6" t="s">
        <v>109</v>
      </c>
    </row>
    <row r="45" spans="1:4" x14ac:dyDescent="0.25">
      <c r="A45" s="5" t="s">
        <v>6</v>
      </c>
      <c r="B45" s="11">
        <f t="shared" ref="B45:D48" si="2">B31/B38</f>
        <v>178.42307692307676</v>
      </c>
      <c r="C45" s="11">
        <f t="shared" si="2"/>
        <v>211.41304347826076</v>
      </c>
      <c r="D45" s="11">
        <f t="shared" si="2"/>
        <v>202.41666666666663</v>
      </c>
    </row>
    <row r="46" spans="1:4" x14ac:dyDescent="0.25">
      <c r="A46" s="5" t="s">
        <v>160</v>
      </c>
      <c r="B46" s="11">
        <f t="shared" si="2"/>
        <v>368.24999999999994</v>
      </c>
      <c r="C46" s="11">
        <f t="shared" si="2"/>
        <v>400.85365853658516</v>
      </c>
      <c r="D46" s="11">
        <f t="shared" si="2"/>
        <v>446.36842105263145</v>
      </c>
    </row>
    <row r="47" spans="1:4" x14ac:dyDescent="0.25">
      <c r="A47" s="5" t="s">
        <v>311</v>
      </c>
      <c r="B47" s="11">
        <f t="shared" si="2"/>
        <v>317.38775510204056</v>
      </c>
      <c r="C47" s="11">
        <f t="shared" si="2"/>
        <v>289.55999999999995</v>
      </c>
      <c r="D47" s="11">
        <f t="shared" si="2"/>
        <v>381.68292682926813</v>
      </c>
    </row>
    <row r="48" spans="1:4" x14ac:dyDescent="0.25">
      <c r="A48" s="5" t="s">
        <v>462</v>
      </c>
      <c r="B48" s="11">
        <f t="shared" si="2"/>
        <v>841.76086956521681</v>
      </c>
      <c r="C48" s="11">
        <f t="shared" si="2"/>
        <v>852.53333333333296</v>
      </c>
      <c r="D48" s="11">
        <f t="shared" si="2"/>
        <v>974.82051282051282</v>
      </c>
    </row>
    <row r="50" spans="1:15" ht="15.75" x14ac:dyDescent="0.25">
      <c r="A50" s="17" t="s">
        <v>904</v>
      </c>
    </row>
    <row r="51" spans="1:15" x14ac:dyDescent="0.25">
      <c r="A51" s="6" t="s">
        <v>905</v>
      </c>
      <c r="B51" s="14"/>
      <c r="C51" s="6" t="s">
        <v>906</v>
      </c>
      <c r="D51" s="14"/>
      <c r="E51" s="6" t="s">
        <v>907</v>
      </c>
      <c r="F51" s="14"/>
      <c r="G51" s="6" t="s">
        <v>908</v>
      </c>
      <c r="H51" s="14"/>
      <c r="I51" s="6" t="s">
        <v>909</v>
      </c>
      <c r="J51" s="14"/>
      <c r="K51" s="20" t="s">
        <v>910</v>
      </c>
      <c r="L51" s="20" t="s">
        <v>911</v>
      </c>
      <c r="M51" s="20" t="s">
        <v>912</v>
      </c>
      <c r="N51" s="20" t="s">
        <v>913</v>
      </c>
      <c r="O51" s="20" t="s">
        <v>914</v>
      </c>
    </row>
    <row r="52" spans="1:15" x14ac:dyDescent="0.25">
      <c r="A52" s="18" t="s">
        <v>915</v>
      </c>
      <c r="B52" s="18" t="s">
        <v>3</v>
      </c>
      <c r="C52" s="18" t="s">
        <v>887</v>
      </c>
      <c r="D52" s="18" t="s">
        <v>888</v>
      </c>
      <c r="E52" s="18" t="s">
        <v>887</v>
      </c>
      <c r="F52" s="18" t="s">
        <v>888</v>
      </c>
      <c r="G52" s="18" t="s">
        <v>887</v>
      </c>
      <c r="H52" s="18" t="s">
        <v>888</v>
      </c>
      <c r="I52" s="18" t="s">
        <v>887</v>
      </c>
      <c r="J52" s="18" t="s">
        <v>888</v>
      </c>
      <c r="K52" s="21" t="s">
        <v>916</v>
      </c>
      <c r="L52" s="21" t="s">
        <v>6</v>
      </c>
      <c r="M52" s="21" t="s">
        <v>160</v>
      </c>
      <c r="N52" s="21" t="s">
        <v>311</v>
      </c>
      <c r="O52" s="21" t="s">
        <v>462</v>
      </c>
    </row>
    <row r="53" spans="1:15" x14ac:dyDescent="0.25">
      <c r="A53" s="1" t="s">
        <v>917</v>
      </c>
      <c r="B53" s="10">
        <v>300</v>
      </c>
      <c r="C53" s="22">
        <f>AVERAGEIFS(results_dp!$F$2:$F$601,results_dp!$A$2:$A$601,$L$52,results_dp!$B$2:$B$601,$K53,results_dp!$D$2:$D$601,$B53)</f>
        <v>7.8999999999999987E-2</v>
      </c>
      <c r="D53" s="22">
        <f>AVERAGEIFS(results_gurobi!$F$2:$F$601,results_gurobi!$A$2:$A$601,$L$52,results_gurobi!$B$2:$B$601,$K53,results_gurobi!$D$2:$D$601,$B53)</f>
        <v>4.0000000000000001E-3</v>
      </c>
      <c r="E53" s="22">
        <f>AVERAGEIFS(results_dp!$F$2:$F$601,results_dp!$A$2:$A$601,$M$52,results_dp!$B$2:$B$601,$K53,results_dp!$D$2:$D$601,$B53)</f>
        <v>0.378</v>
      </c>
      <c r="F53" s="22">
        <f>AVERAGEIFS(results_gurobi!$F$2:$F$601,results_gurobi!$A$2:$A$601,$M$52,results_gurobi!$B$2:$B$601,$K53,results_gurobi!$D$2:$D$601,$B53)</f>
        <v>8.0000000000000002E-3</v>
      </c>
      <c r="G53" s="22">
        <f>AVERAGEIFS(results_dp!$F$2:$F$601,results_dp!$A$2:$A$601,$N$52,results_dp!$B$2:$B$601,$K53,results_dp!$D$2:$D$601,$B53)</f>
        <v>6.8000000000000019E-2</v>
      </c>
      <c r="H53" s="22">
        <f>AVERAGEIFS(results_gurobi!$F$2:$F$601,results_gurobi!$A$2:$A$601,$N$52,results_gurobi!$B$2:$B$601,$K53,results_gurobi!$D$2:$D$601,$B53)</f>
        <v>3.0000000000000001E-3</v>
      </c>
      <c r="I53" s="22">
        <f>AVERAGEIFS(results_dp!$F$2:$F$601,results_dp!$A$2:$A$601,$O$52,results_dp!$B$2:$B$601,$K53,results_dp!$D$2:$D$601,$B53)</f>
        <v>0.30599999999999999</v>
      </c>
      <c r="J53" s="22">
        <f>AVERAGEIFS(results_gurobi!$F$2:$F$601,results_gurobi!$A$2:$A$601,$O$52,results_gurobi!$B$2:$B$601,$K53,results_gurobi!$D$2:$D$601,$B53)</f>
        <v>2E-3</v>
      </c>
      <c r="K53" s="19" t="s">
        <v>109</v>
      </c>
    </row>
    <row r="54" spans="1:15" x14ac:dyDescent="0.25">
      <c r="B54" s="10">
        <v>500</v>
      </c>
      <c r="C54" s="22">
        <f>AVERAGEIFS(results_dp!$F$2:$F$601,results_dp!$A$2:$A$601,$L$52,results_dp!$B$2:$B$601,$K54,results_dp!$D$2:$D$601,$B54)</f>
        <v>0.52299999999999991</v>
      </c>
      <c r="D54" s="22">
        <f>AVERAGEIFS(results_gurobi!$F$2:$F$601,results_gurobi!$A$2:$A$601,$L$52,results_gurobi!$B$2:$B$601,$K54,results_gurobi!$D$2:$D$601,$B54)</f>
        <v>9.9999999999999985E-3</v>
      </c>
      <c r="E54" s="22">
        <f>AVERAGEIFS(results_dp!$F$2:$F$601,results_dp!$A$2:$A$601,$M$52,results_dp!$B$2:$B$601,$K54,results_dp!$D$2:$D$601,$B54)</f>
        <v>1.7420000000000002</v>
      </c>
      <c r="F54" s="22">
        <f>AVERAGEIFS(results_gurobi!$F$2:$F$601,results_gurobi!$A$2:$A$601,$M$52,results_gurobi!$B$2:$B$601,$K54,results_gurobi!$D$2:$D$601,$B54)</f>
        <v>8.0000000000000002E-3</v>
      </c>
      <c r="G54" s="22">
        <f>AVERAGEIFS(results_dp!$F$2:$F$601,results_dp!$A$2:$A$601,$N$52,results_dp!$B$2:$B$601,$K54,results_dp!$D$2:$D$601,$B54)</f>
        <v>0.54899999999999993</v>
      </c>
      <c r="H54" s="22">
        <f>AVERAGEIFS(results_gurobi!$F$2:$F$601,results_gurobi!$A$2:$A$601,$N$52,results_gurobi!$B$2:$B$601,$K54,results_gurobi!$D$2:$D$601,$B54)</f>
        <v>8.0000000000000002E-3</v>
      </c>
      <c r="I54" s="22">
        <f>AVERAGEIFS(results_dp!$F$2:$F$601,results_dp!$A$2:$A$601,$O$52,results_dp!$B$2:$B$601,$K54,results_dp!$D$2:$D$601,$B54)</f>
        <v>1.7</v>
      </c>
      <c r="J54" s="22">
        <f>AVERAGEIFS(results_gurobi!$F$2:$F$601,results_gurobi!$A$2:$A$601,$O$52,results_gurobi!$B$2:$B$601,$K54,results_gurobi!$D$2:$D$601,$B54)</f>
        <v>8.0000000000000002E-3</v>
      </c>
      <c r="K54" s="19" t="s">
        <v>109</v>
      </c>
    </row>
    <row r="55" spans="1:15" x14ac:dyDescent="0.25">
      <c r="B55" s="10">
        <v>700</v>
      </c>
      <c r="C55" s="22">
        <f>AVERAGEIFS(results_dp!$F$2:$F$601,results_dp!$A$2:$A$601,$L$52,results_dp!$B$2:$B$601,$K55,results_dp!$D$2:$D$601,$B55)</f>
        <v>1.6689999999999998</v>
      </c>
      <c r="D55" s="22">
        <f>AVERAGEIFS(results_gurobi!$F$2:$F$601,results_gurobi!$A$2:$A$601,$L$52,results_gurobi!$B$2:$B$601,$K55,results_gurobi!$D$2:$D$601,$B55)</f>
        <v>1.3000000000000001E-2</v>
      </c>
      <c r="E55" s="22">
        <f>AVERAGEIFS(results_dp!$F$2:$F$601,results_dp!$A$2:$A$601,$M$52,results_dp!$B$2:$B$601,$K55,results_dp!$D$2:$D$601,$B55)</f>
        <v>3.7749999999999999</v>
      </c>
      <c r="F55" s="22">
        <f>AVERAGEIFS(results_gurobi!$F$2:$F$601,results_gurobi!$A$2:$A$601,$M$52,results_gurobi!$B$2:$B$601,$K55,results_gurobi!$D$2:$D$601,$B55)</f>
        <v>5.0000000000000001E-3</v>
      </c>
      <c r="G55" s="22">
        <f>AVERAGEIFS(results_dp!$F$2:$F$601,results_dp!$A$2:$A$601,$N$52,results_dp!$B$2:$B$601,$K55,results_dp!$D$2:$D$601,$B55)</f>
        <v>2.1749999999999998</v>
      </c>
      <c r="H55" s="22">
        <f>AVERAGEIFS(results_gurobi!$F$2:$F$601,results_gurobi!$A$2:$A$601,$N$52,results_gurobi!$B$2:$B$601,$K55,results_gurobi!$D$2:$D$601,$B55)</f>
        <v>9.9999999999999985E-3</v>
      </c>
      <c r="I55" s="22">
        <f>AVERAGEIFS(results_dp!$F$2:$F$601,results_dp!$A$2:$A$601,$O$52,results_dp!$B$2:$B$601,$K55,results_dp!$D$2:$D$601,$B55)</f>
        <v>5.2009999999999996</v>
      </c>
      <c r="J55" s="22">
        <f>AVERAGEIFS(results_gurobi!$F$2:$F$601,results_gurobi!$A$2:$A$601,$O$52,results_gurobi!$B$2:$B$601,$K55,results_gurobi!$D$2:$D$601,$B55)</f>
        <v>8.9999999999999993E-3</v>
      </c>
      <c r="K55" s="19" t="s">
        <v>109</v>
      </c>
    </row>
    <row r="56" spans="1:15" x14ac:dyDescent="0.25">
      <c r="B56" s="10">
        <v>800</v>
      </c>
      <c r="C56" s="22">
        <f>AVERAGEIFS(results_dp!$F$2:$F$601,results_dp!$A$2:$A$601,$L$52,results_dp!$B$2:$B$601,$K56,results_dp!$D$2:$D$601,$B56)</f>
        <v>2.4699999999999998</v>
      </c>
      <c r="D56" s="22">
        <f>AVERAGEIFS(results_gurobi!$F$2:$F$601,results_gurobi!$A$2:$A$601,$L$52,results_gurobi!$B$2:$B$601,$K56,results_gurobi!$D$2:$D$601,$B56)</f>
        <v>9.9999999999999985E-3</v>
      </c>
      <c r="E56" s="22">
        <f>AVERAGEIFS(results_dp!$F$2:$F$601,results_dp!$A$2:$A$601,$M$52,results_dp!$B$2:$B$601,$K56,results_dp!$D$2:$D$601,$B56)</f>
        <v>4.4569999999999999</v>
      </c>
      <c r="F56" s="22">
        <f>AVERAGEIFS(results_gurobi!$F$2:$F$601,results_gurobi!$A$2:$A$601,$M$52,results_gurobi!$B$2:$B$601,$K56,results_gurobi!$D$2:$D$601,$B56)</f>
        <v>8.0000000000000002E-3</v>
      </c>
      <c r="G56" s="22">
        <f>AVERAGEIFS(results_dp!$F$2:$F$601,results_dp!$A$2:$A$601,$N$52,results_dp!$B$2:$B$601,$K56,results_dp!$D$2:$D$601,$B56)</f>
        <v>3.88</v>
      </c>
      <c r="H56" s="22">
        <f>AVERAGEIFS(results_gurobi!$F$2:$F$601,results_gurobi!$A$2:$A$601,$N$52,results_gurobi!$B$2:$B$601,$K56,results_gurobi!$D$2:$D$601,$B56)</f>
        <v>9.9999999999999985E-3</v>
      </c>
      <c r="I56" s="22">
        <f>AVERAGEIFS(results_dp!$F$2:$F$601,results_dp!$A$2:$A$601,$O$52,results_dp!$B$2:$B$601,$K56,results_dp!$D$2:$D$601,$B56)</f>
        <v>8.8569999999999993</v>
      </c>
      <c r="J56" s="22">
        <f>AVERAGEIFS(results_gurobi!$F$2:$F$601,results_gurobi!$A$2:$A$601,$O$52,results_gurobi!$B$2:$B$601,$K56,results_gurobi!$D$2:$D$601,$B56)</f>
        <v>9.9999999999999985E-3</v>
      </c>
      <c r="K56" s="19" t="s">
        <v>109</v>
      </c>
    </row>
    <row r="57" spans="1:15" x14ac:dyDescent="0.25">
      <c r="B57" s="10">
        <v>1000</v>
      </c>
      <c r="C57" s="22">
        <f>AVERAGEIFS(results_dp!$F$2:$F$601,results_dp!$A$2:$A$601,$L$52,results_dp!$B$2:$B$601,$K57,results_dp!$D$2:$D$601,$B57)</f>
        <v>4.9749999999999996</v>
      </c>
      <c r="D57" s="22">
        <f>AVERAGEIFS(results_gurobi!$F$2:$F$601,results_gurobi!$A$2:$A$601,$L$52,results_gurobi!$B$2:$B$601,$K57,results_gurobi!$D$2:$D$601,$B57)</f>
        <v>1.0999999999999998E-2</v>
      </c>
      <c r="E57" s="22">
        <f>AVERAGEIFS(results_dp!$F$2:$F$601,results_dp!$A$2:$A$601,$M$52,results_dp!$B$2:$B$601,$K57,results_dp!$D$2:$D$601,$B57)</f>
        <v>6.6099999999999994</v>
      </c>
      <c r="F57" s="22">
        <f>AVERAGEIFS(results_gurobi!$F$2:$F$601,results_gurobi!$A$2:$A$601,$M$52,results_gurobi!$B$2:$B$601,$K57,results_gurobi!$D$2:$D$601,$B57)</f>
        <v>8.9999999999999993E-3</v>
      </c>
      <c r="G57" s="22">
        <f>AVERAGEIFS(results_dp!$F$2:$F$601,results_dp!$A$2:$A$601,$N$52,results_dp!$B$2:$B$601,$K57,results_dp!$D$2:$D$601,$B57)</f>
        <v>8.9770000000000003</v>
      </c>
      <c r="H57" s="22">
        <f>AVERAGEIFS(results_gurobi!$F$2:$F$601,results_gurobi!$A$2:$A$601,$N$52,results_gurobi!$B$2:$B$601,$K57,results_gurobi!$D$2:$D$601,$B57)</f>
        <v>9.9999999999999985E-3</v>
      </c>
      <c r="I57" s="22">
        <f>AVERAGEIFS(results_dp!$F$2:$F$601,results_dp!$A$2:$A$601,$O$52,results_dp!$B$2:$B$601,$K57,results_dp!$D$2:$D$601,$B57)</f>
        <v>21.954000000000001</v>
      </c>
      <c r="J57" s="22">
        <f>AVERAGEIFS(results_gurobi!$F$2:$F$601,results_gurobi!$A$2:$A$601,$O$52,results_gurobi!$B$2:$B$601,$K57,results_gurobi!$D$2:$D$601,$B57)</f>
        <v>9.9999999999999985E-3</v>
      </c>
      <c r="K57" s="19" t="s">
        <v>109</v>
      </c>
    </row>
    <row r="58" spans="1:15" x14ac:dyDescent="0.25">
      <c r="A58" s="1" t="s">
        <v>918</v>
      </c>
      <c r="B58" s="10">
        <v>300</v>
      </c>
      <c r="C58" s="22">
        <f>AVERAGEIFS(results_dp!$F$2:$F$601,results_dp!$A$2:$A$601,$L$52,results_dp!$B$2:$B$601,$K58,results_dp!$D$2:$D$601,$B58)</f>
        <v>7.2999999999999995E-2</v>
      </c>
      <c r="D58" s="22">
        <f>AVERAGEIFS(results_gurobi!$F$2:$F$601,results_gurobi!$A$2:$A$601,$L$52,results_gurobi!$B$2:$B$601,$K58,results_gurobi!$D$2:$D$601,$B58)</f>
        <v>8.9999999999999993E-3</v>
      </c>
      <c r="E58" s="22">
        <f>AVERAGEIFS(results_dp!$F$2:$F$601,results_dp!$A$2:$A$601,$M$52,results_dp!$B$2:$B$601,$K58,results_dp!$D$2:$D$601,$B58)</f>
        <v>0.36599999999999999</v>
      </c>
      <c r="F58" s="22">
        <f>AVERAGEIFS(results_gurobi!$F$2:$F$601,results_gurobi!$A$2:$A$601,$M$52,results_gurobi!$B$2:$B$601,$K58,results_gurobi!$D$2:$D$601,$B58)</f>
        <v>6.0000000000000001E-3</v>
      </c>
      <c r="G58" s="22">
        <f>AVERAGEIFS(results_dp!$F$2:$F$601,results_dp!$A$2:$A$601,$N$52,results_dp!$B$2:$B$601,$K58,results_dp!$D$2:$D$601,$B58)</f>
        <v>6.8000000000000019E-2</v>
      </c>
      <c r="H58" s="22">
        <f>AVERAGEIFS(results_gurobi!$F$2:$F$601,results_gurobi!$A$2:$A$601,$N$52,results_gurobi!$B$2:$B$601,$K58,results_gurobi!$D$2:$D$601,$B58)</f>
        <v>1.0999999999999999E-2</v>
      </c>
      <c r="I58" s="22">
        <f>AVERAGEIFS(results_dp!$F$2:$F$601,results_dp!$A$2:$A$601,$O$52,results_dp!$B$2:$B$601,$K58,results_dp!$D$2:$D$601,$B58)</f>
        <v>0.29099999999999998</v>
      </c>
      <c r="J58" s="22">
        <f>AVERAGEIFS(results_gurobi!$F$2:$F$601,results_gurobi!$A$2:$A$601,$O$52,results_gurobi!$B$2:$B$601,$K58,results_gurobi!$D$2:$D$601,$B58)</f>
        <v>6.0000000000000001E-3</v>
      </c>
      <c r="K58" s="19" t="s">
        <v>7</v>
      </c>
    </row>
    <row r="59" spans="1:15" x14ac:dyDescent="0.25">
      <c r="B59" s="10">
        <v>500</v>
      </c>
      <c r="C59" s="22">
        <f>AVERAGEIFS(results_dp!$F$2:$F$601,results_dp!$A$2:$A$601,$L$52,results_dp!$B$2:$B$601,$K59,results_dp!$D$2:$D$601,$B59)</f>
        <v>0.48799999999999999</v>
      </c>
      <c r="D59" s="22">
        <f>AVERAGEIFS(results_gurobi!$F$2:$F$601,results_gurobi!$A$2:$A$601,$L$52,results_gurobi!$B$2:$B$601,$K59,results_gurobi!$D$2:$D$601,$B59)</f>
        <v>8.9999999999999993E-3</v>
      </c>
      <c r="E59" s="22">
        <f>AVERAGEIFS(results_dp!$F$2:$F$601,results_dp!$A$2:$A$601,$M$52,results_dp!$B$2:$B$601,$K59,results_dp!$D$2:$D$601,$B59)</f>
        <v>1.591</v>
      </c>
      <c r="F59" s="22">
        <f>AVERAGEIFS(results_gurobi!$F$2:$F$601,results_gurobi!$A$2:$A$601,$M$52,results_gurobi!$B$2:$B$601,$K59,results_gurobi!$D$2:$D$601,$B59)</f>
        <v>8.0000000000000002E-3</v>
      </c>
      <c r="G59" s="22">
        <f>AVERAGEIFS(results_dp!$F$2:$F$601,results_dp!$A$2:$A$601,$N$52,results_dp!$B$2:$B$601,$K59,results_dp!$D$2:$D$601,$B59)</f>
        <v>0.52500000000000002</v>
      </c>
      <c r="H59" s="22">
        <f>AVERAGEIFS(results_gurobi!$F$2:$F$601,results_gurobi!$A$2:$A$601,$N$52,results_gurobi!$B$2:$B$601,$K59,results_gurobi!$D$2:$D$601,$B59)</f>
        <v>8.0000000000000002E-3</v>
      </c>
      <c r="I59" s="22">
        <f>AVERAGEIFS(results_dp!$F$2:$F$601,results_dp!$A$2:$A$601,$O$52,results_dp!$B$2:$B$601,$K59,results_dp!$D$2:$D$601,$B59)</f>
        <v>1.6770000000000003</v>
      </c>
      <c r="J59" s="22">
        <f>AVERAGEIFS(results_gurobi!$F$2:$F$601,results_gurobi!$A$2:$A$601,$O$52,results_gurobi!$B$2:$B$601,$K59,results_gurobi!$D$2:$D$601,$B59)</f>
        <v>9.9999999999999985E-3</v>
      </c>
      <c r="K59" s="19" t="s">
        <v>7</v>
      </c>
    </row>
    <row r="60" spans="1:15" x14ac:dyDescent="0.25">
      <c r="B60" s="10">
        <v>700</v>
      </c>
      <c r="C60" s="22">
        <f>AVERAGEIFS(results_dp!$F$2:$F$601,results_dp!$A$2:$A$601,$L$52,results_dp!$B$2:$B$601,$K60,results_dp!$D$2:$D$601,$B60)</f>
        <v>1.6019999999999999</v>
      </c>
      <c r="D60" s="22">
        <f>AVERAGEIFS(results_gurobi!$F$2:$F$601,results_gurobi!$A$2:$A$601,$L$52,results_gurobi!$B$2:$B$601,$K60,results_gurobi!$D$2:$D$601,$B60)</f>
        <v>9.9999999999999985E-3</v>
      </c>
      <c r="E60" s="22">
        <f>AVERAGEIFS(results_dp!$F$2:$F$601,results_dp!$A$2:$A$601,$M$52,results_dp!$B$2:$B$601,$K60,results_dp!$D$2:$D$601,$B60)</f>
        <v>3.5669999999999993</v>
      </c>
      <c r="F60" s="22">
        <f>AVERAGEIFS(results_gurobi!$F$2:$F$601,results_gurobi!$A$2:$A$601,$M$52,results_gurobi!$B$2:$B$601,$K60,results_gurobi!$D$2:$D$601,$B60)</f>
        <v>9.9999999999999985E-3</v>
      </c>
      <c r="G60" s="22">
        <f>AVERAGEIFS(results_dp!$F$2:$F$601,results_dp!$A$2:$A$601,$N$52,results_dp!$B$2:$B$601,$K60,results_dp!$D$2:$D$601,$B60)</f>
        <v>2.1469999999999998</v>
      </c>
      <c r="H60" s="22">
        <f>AVERAGEIFS(results_gurobi!$F$2:$F$601,results_gurobi!$A$2:$A$601,$N$52,results_gurobi!$B$2:$B$601,$K60,results_gurobi!$D$2:$D$601,$B60)</f>
        <v>8.9999999999999993E-3</v>
      </c>
      <c r="I60" s="22">
        <f>AVERAGEIFS(results_dp!$F$2:$F$601,results_dp!$A$2:$A$601,$O$52,results_dp!$B$2:$B$601,$K60,results_dp!$D$2:$D$601,$B60)</f>
        <v>5.5870000000000006</v>
      </c>
      <c r="J60" s="22">
        <f>AVERAGEIFS(results_gurobi!$F$2:$F$601,results_gurobi!$A$2:$A$601,$O$52,results_gurobi!$B$2:$B$601,$K60,results_gurobi!$D$2:$D$601,$B60)</f>
        <v>8.9999999999999993E-3</v>
      </c>
      <c r="K60" s="19" t="s">
        <v>7</v>
      </c>
    </row>
    <row r="61" spans="1:15" x14ac:dyDescent="0.25">
      <c r="B61" s="10">
        <v>800</v>
      </c>
      <c r="C61" s="22">
        <f>AVERAGEIFS(results_dp!$F$2:$F$601,results_dp!$A$2:$A$601,$L$52,results_dp!$B$2:$B$601,$K61,results_dp!$D$2:$D$601,$B61)</f>
        <v>2.3639999999999999</v>
      </c>
      <c r="D61" s="22">
        <f>AVERAGEIFS(results_gurobi!$F$2:$F$601,results_gurobi!$A$2:$A$601,$L$52,results_gurobi!$B$2:$B$601,$K61,results_gurobi!$D$2:$D$601,$B61)</f>
        <v>9.9999999999999985E-3</v>
      </c>
      <c r="E61" s="22">
        <f>AVERAGEIFS(results_dp!$F$2:$F$601,results_dp!$A$2:$A$601,$M$52,results_dp!$B$2:$B$601,$K61,results_dp!$D$2:$D$601,$B61)</f>
        <v>4.2549999999999999</v>
      </c>
      <c r="F61" s="22">
        <f>AVERAGEIFS(results_gurobi!$F$2:$F$601,results_gurobi!$A$2:$A$601,$M$52,results_gurobi!$B$2:$B$601,$K61,results_gurobi!$D$2:$D$601,$B61)</f>
        <v>9.9999999999999985E-3</v>
      </c>
      <c r="G61" s="22">
        <f>AVERAGEIFS(results_dp!$F$2:$F$601,results_dp!$A$2:$A$601,$N$52,results_dp!$B$2:$B$601,$K61,results_dp!$D$2:$D$601,$B61)</f>
        <v>3.617</v>
      </c>
      <c r="H61" s="22">
        <f>AVERAGEIFS(results_gurobi!$F$2:$F$601,results_gurobi!$A$2:$A$601,$N$52,results_gurobi!$B$2:$B$601,$K61,results_gurobi!$D$2:$D$601,$B61)</f>
        <v>1.0999999999999999E-2</v>
      </c>
      <c r="I61" s="22">
        <f>AVERAGEIFS(results_dp!$F$2:$F$601,results_dp!$A$2:$A$601,$O$52,results_dp!$B$2:$B$601,$K61,results_dp!$D$2:$D$601,$B61)</f>
        <v>9.1800000000000015</v>
      </c>
      <c r="J61" s="22">
        <f>AVERAGEIFS(results_gurobi!$F$2:$F$601,results_gurobi!$A$2:$A$601,$O$52,results_gurobi!$B$2:$B$601,$K61,results_gurobi!$D$2:$D$601,$B61)</f>
        <v>1.0999999999999999E-2</v>
      </c>
      <c r="K61" s="19" t="s">
        <v>7</v>
      </c>
    </row>
    <row r="62" spans="1:15" x14ac:dyDescent="0.25">
      <c r="B62" s="10">
        <v>1000</v>
      </c>
      <c r="C62" s="22">
        <f>AVERAGEIFS(results_dp!$F$2:$F$601,results_dp!$A$2:$A$601,$L$52,results_dp!$B$2:$B$601,$K62,results_dp!$D$2:$D$601,$B62)</f>
        <v>4.7509999999999994</v>
      </c>
      <c r="D62" s="22">
        <f>AVERAGEIFS(results_gurobi!$F$2:$F$601,results_gurobi!$A$2:$A$601,$L$52,results_gurobi!$B$2:$B$601,$K62,results_gurobi!$D$2:$D$601,$B62)</f>
        <v>1.3999999999999999E-2</v>
      </c>
      <c r="E62" s="22">
        <f>AVERAGEIFS(results_dp!$F$2:$F$601,results_dp!$A$2:$A$601,$M$52,results_dp!$B$2:$B$601,$K62,results_dp!$D$2:$D$601,$B62)</f>
        <v>6.4239999999999995</v>
      </c>
      <c r="F62" s="22">
        <f>AVERAGEIFS(results_gurobi!$F$2:$F$601,results_gurobi!$A$2:$A$601,$M$52,results_gurobi!$B$2:$B$601,$K62,results_gurobi!$D$2:$D$601,$B62)</f>
        <v>9.9999999999999985E-3</v>
      </c>
      <c r="G62" s="22">
        <f>AVERAGEIFS(results_dp!$F$2:$F$601,results_dp!$A$2:$A$601,$N$52,results_dp!$B$2:$B$601,$K62,results_dp!$D$2:$D$601,$B62)</f>
        <v>9.1950000000000021</v>
      </c>
      <c r="H62" s="22">
        <f>AVERAGEIFS(results_gurobi!$F$2:$F$601,results_gurobi!$A$2:$A$601,$N$52,results_gurobi!$B$2:$B$601,$K62,results_gurobi!$D$2:$D$601,$B62)</f>
        <v>9.9999999999999985E-3</v>
      </c>
      <c r="I62" s="22">
        <f>AVERAGEIFS(results_dp!$F$2:$F$601,results_dp!$A$2:$A$601,$O$52,results_dp!$B$2:$B$601,$K62,results_dp!$D$2:$D$601,$B62)</f>
        <v>21.985999999999997</v>
      </c>
      <c r="J62" s="22">
        <f>AVERAGEIFS(results_gurobi!$F$2:$F$601,results_gurobi!$A$2:$A$601,$O$52,results_gurobi!$B$2:$B$601,$K62,results_gurobi!$D$2:$D$601,$B62)</f>
        <v>9.9999999999999985E-3</v>
      </c>
      <c r="K62" s="19" t="s">
        <v>7</v>
      </c>
    </row>
    <row r="63" spans="1:15" x14ac:dyDescent="0.25">
      <c r="A63" s="1" t="s">
        <v>919</v>
      </c>
      <c r="B63" s="10">
        <v>300</v>
      </c>
      <c r="C63" s="22">
        <f>AVERAGEIFS(results_dp!$F$2:$F$601,results_dp!$A$2:$A$601,$L$52,results_dp!$B$2:$B$601,$K63,results_dp!$D$2:$D$601,$B63)</f>
        <v>8.3999999999999991E-2</v>
      </c>
      <c r="D63" s="22">
        <f>AVERAGEIFS(results_gurobi!$F$2:$F$601,results_gurobi!$A$2:$A$601,$L$52,results_gurobi!$B$2:$B$601,$K63,results_gurobi!$D$2:$D$601,$B63)</f>
        <v>6.0000000000000001E-3</v>
      </c>
      <c r="E63" s="22">
        <f>AVERAGEIFS(results_dp!$F$2:$F$601,results_dp!$A$2:$A$601,$M$52,results_dp!$B$2:$B$601,$K63,results_dp!$D$2:$D$601,$B63)</f>
        <v>0.40899999999999997</v>
      </c>
      <c r="F63" s="22">
        <f>AVERAGEIFS(results_gurobi!$F$2:$F$601,results_gurobi!$A$2:$A$601,$M$52,results_gurobi!$B$2:$B$601,$K63,results_gurobi!$D$2:$D$601,$B63)</f>
        <v>5.0000000000000001E-3</v>
      </c>
      <c r="G63" s="22">
        <f>AVERAGEIFS(results_dp!$F$2:$F$601,results_dp!$A$2:$A$601,$N$52,results_dp!$B$2:$B$601,$K63,results_dp!$D$2:$D$601,$B63)</f>
        <v>6.7999999999999991E-2</v>
      </c>
      <c r="H63" s="22">
        <f>AVERAGEIFS(results_gurobi!$F$2:$F$601,results_gurobi!$A$2:$A$601,$N$52,results_gurobi!$B$2:$B$601,$K63,results_gurobi!$D$2:$D$601,$B63)</f>
        <v>8.9999999999999993E-3</v>
      </c>
      <c r="I63" s="22">
        <f>AVERAGEIFS(results_dp!$F$2:$F$601,results_dp!$A$2:$A$601,$O$52,results_dp!$B$2:$B$601,$K63,results_dp!$D$2:$D$601,$B63)</f>
        <v>0.29299999999999998</v>
      </c>
      <c r="J63" s="22">
        <f>AVERAGEIFS(results_gurobi!$F$2:$F$601,results_gurobi!$A$2:$A$601,$O$52,results_gurobi!$B$2:$B$601,$K63,results_gurobi!$D$2:$D$601,$B63)</f>
        <v>6.0000000000000001E-3</v>
      </c>
      <c r="K63" s="19" t="s">
        <v>58</v>
      </c>
    </row>
    <row r="64" spans="1:15" x14ac:dyDescent="0.25">
      <c r="B64" s="10">
        <v>500</v>
      </c>
      <c r="C64" s="22">
        <f>AVERAGEIFS(results_dp!$F$2:$F$601,results_dp!$A$2:$A$601,$L$52,results_dp!$B$2:$B$601,$K64,results_dp!$D$2:$D$601,$B64)</f>
        <v>0.50500000000000012</v>
      </c>
      <c r="D64" s="22">
        <f>AVERAGEIFS(results_gurobi!$F$2:$F$601,results_gurobi!$A$2:$A$601,$L$52,results_gurobi!$B$2:$B$601,$K64,results_gurobi!$D$2:$D$601,$B64)</f>
        <v>9.9999999999999985E-3</v>
      </c>
      <c r="E64" s="22">
        <f>AVERAGEIFS(results_dp!$F$2:$F$601,results_dp!$A$2:$A$601,$M$52,results_dp!$B$2:$B$601,$K64,results_dp!$D$2:$D$601,$B64)</f>
        <v>1.6450000000000002</v>
      </c>
      <c r="F64" s="22">
        <f>AVERAGEIFS(results_gurobi!$F$2:$F$601,results_gurobi!$A$2:$A$601,$M$52,results_gurobi!$B$2:$B$601,$K64,results_gurobi!$D$2:$D$601,$B64)</f>
        <v>7.000000000000001E-3</v>
      </c>
      <c r="G64" s="22">
        <f>AVERAGEIFS(results_dp!$F$2:$F$601,results_dp!$A$2:$A$601,$N$52,results_dp!$B$2:$B$601,$K64,results_dp!$D$2:$D$601,$B64)</f>
        <v>0.48399999999999999</v>
      </c>
      <c r="H64" s="22">
        <f>AVERAGEIFS(results_gurobi!$F$2:$F$601,results_gurobi!$A$2:$A$601,$N$52,results_gurobi!$B$2:$B$601,$K64,results_gurobi!$D$2:$D$601,$B64)</f>
        <v>8.0000000000000002E-3</v>
      </c>
      <c r="I64" s="22">
        <f>AVERAGEIFS(results_dp!$F$2:$F$601,results_dp!$A$2:$A$601,$O$52,results_dp!$B$2:$B$601,$K64,results_dp!$D$2:$D$601,$B64)</f>
        <v>1.7849999999999997</v>
      </c>
      <c r="J64" s="22">
        <f>AVERAGEIFS(results_gurobi!$F$2:$F$601,results_gurobi!$A$2:$A$601,$O$52,results_gurobi!$B$2:$B$601,$K64,results_gurobi!$D$2:$D$601,$B64)</f>
        <v>8.0000000000000002E-3</v>
      </c>
      <c r="K64" s="19" t="s">
        <v>58</v>
      </c>
    </row>
    <row r="65" spans="2:11" x14ac:dyDescent="0.25">
      <c r="B65" s="10">
        <v>700</v>
      </c>
      <c r="C65" s="22">
        <f>AVERAGEIFS(results_dp!$F$2:$F$601,results_dp!$A$2:$A$601,$L$52,results_dp!$B$2:$B$601,$K65,results_dp!$D$2:$D$601,$B65)</f>
        <v>1.6800000000000002</v>
      </c>
      <c r="D65" s="22">
        <f>AVERAGEIFS(results_gurobi!$F$2:$F$601,results_gurobi!$A$2:$A$601,$L$52,results_gurobi!$B$2:$B$601,$K65,results_gurobi!$D$2:$D$601,$B65)</f>
        <v>9.9999999999999985E-3</v>
      </c>
      <c r="E65" s="22">
        <f>AVERAGEIFS(results_dp!$F$2:$F$601,results_dp!$A$2:$A$601,$M$52,results_dp!$B$2:$B$601,$K65,results_dp!$D$2:$D$601,$B65)</f>
        <v>3.6660000000000004</v>
      </c>
      <c r="F65" s="22">
        <f>AVERAGEIFS(results_gurobi!$F$2:$F$601,results_gurobi!$A$2:$A$601,$M$52,results_gurobi!$B$2:$B$601,$K65,results_gurobi!$D$2:$D$601,$B65)</f>
        <v>8.9999999999999993E-3</v>
      </c>
      <c r="G65" s="22">
        <f>AVERAGEIFS(results_dp!$F$2:$F$601,results_dp!$A$2:$A$601,$N$52,results_dp!$B$2:$B$601,$K65,results_dp!$D$2:$D$601,$B65)</f>
        <v>2.0179999999999998</v>
      </c>
      <c r="H65" s="22">
        <f>AVERAGEIFS(results_gurobi!$F$2:$F$601,results_gurobi!$A$2:$A$601,$N$52,results_gurobi!$B$2:$B$601,$K65,results_gurobi!$D$2:$D$601,$B65)</f>
        <v>9.9999999999999985E-3</v>
      </c>
      <c r="I65" s="22">
        <f>AVERAGEIFS(results_dp!$F$2:$F$601,results_dp!$A$2:$A$601,$O$52,results_dp!$B$2:$B$601,$K65,results_dp!$D$2:$D$601,$B65)</f>
        <v>5.7889999999999997</v>
      </c>
      <c r="J65" s="22">
        <f>AVERAGEIFS(results_gurobi!$F$2:$F$601,results_gurobi!$A$2:$A$601,$O$52,results_gurobi!$B$2:$B$601,$K65,results_gurobi!$D$2:$D$601,$B65)</f>
        <v>8.0000000000000002E-3</v>
      </c>
      <c r="K65" s="19" t="s">
        <v>58</v>
      </c>
    </row>
    <row r="66" spans="2:11" x14ac:dyDescent="0.25">
      <c r="B66" s="10">
        <v>800</v>
      </c>
      <c r="C66" s="22">
        <f>AVERAGEIFS(results_dp!$F$2:$F$601,results_dp!$A$2:$A$601,$L$52,results_dp!$B$2:$B$601,$K66,results_dp!$D$2:$D$601,$B66)</f>
        <v>2.5430000000000001</v>
      </c>
      <c r="D66" s="22">
        <f>AVERAGEIFS(results_gurobi!$F$2:$F$601,results_gurobi!$A$2:$A$601,$L$52,results_gurobi!$B$2:$B$601,$K66,results_gurobi!$D$2:$D$601,$B66)</f>
        <v>9.9999999999999985E-3</v>
      </c>
      <c r="E66" s="22">
        <f>AVERAGEIFS(results_dp!$F$2:$F$601,results_dp!$A$2:$A$601,$M$52,results_dp!$B$2:$B$601,$K66,results_dp!$D$2:$D$601,$B66)</f>
        <v>4.2620000000000005</v>
      </c>
      <c r="F66" s="22">
        <f>AVERAGEIFS(results_gurobi!$F$2:$F$601,results_gurobi!$A$2:$A$601,$M$52,results_gurobi!$B$2:$B$601,$K66,results_gurobi!$D$2:$D$601,$B66)</f>
        <v>9.9999999999999985E-3</v>
      </c>
      <c r="G66" s="22">
        <f>AVERAGEIFS(results_dp!$F$2:$F$601,results_dp!$A$2:$A$601,$N$52,results_dp!$B$2:$B$601,$K66,results_dp!$D$2:$D$601,$B66)</f>
        <v>3.6369999999999996</v>
      </c>
      <c r="H66" s="22">
        <f>AVERAGEIFS(results_gurobi!$F$2:$F$601,results_gurobi!$A$2:$A$601,$N$52,results_gurobi!$B$2:$B$601,$K66,results_gurobi!$D$2:$D$601,$B66)</f>
        <v>1.1999999999999999E-2</v>
      </c>
      <c r="I66" s="22">
        <f>AVERAGEIFS(results_dp!$F$2:$F$601,results_dp!$A$2:$A$601,$O$52,results_dp!$B$2:$B$601,$K66,results_dp!$D$2:$D$601,$B66)</f>
        <v>9.1410000000000018</v>
      </c>
      <c r="J66" s="22">
        <f>AVERAGEIFS(results_gurobi!$F$2:$F$601,results_gurobi!$A$2:$A$601,$O$52,results_gurobi!$B$2:$B$601,$K66,results_gurobi!$D$2:$D$601,$B66)</f>
        <v>9.9999999999999985E-3</v>
      </c>
      <c r="K66" s="19" t="s">
        <v>58</v>
      </c>
    </row>
    <row r="67" spans="2:11" x14ac:dyDescent="0.25">
      <c r="B67" s="10">
        <v>1000</v>
      </c>
      <c r="C67" s="22">
        <f>AVERAGEIFS(results_dp!$F$2:$F$601,results_dp!$A$2:$A$601,$L$52,results_dp!$B$2:$B$601,$K67,results_dp!$D$2:$D$601,$B67)</f>
        <v>4.9130000000000003</v>
      </c>
      <c r="D67" s="22">
        <f>AVERAGEIFS(results_gurobi!$F$2:$F$601,results_gurobi!$A$2:$A$601,$L$52,results_gurobi!$B$2:$B$601,$K67,results_gurobi!$D$2:$D$601,$B67)</f>
        <v>9.9999999999999985E-3</v>
      </c>
      <c r="E67" s="22">
        <f>AVERAGEIFS(results_dp!$F$2:$F$601,results_dp!$A$2:$A$601,$M$52,results_dp!$B$2:$B$601,$K67,results_dp!$D$2:$D$601,$B67)</f>
        <v>6.4530000000000003</v>
      </c>
      <c r="F67" s="22">
        <f>AVERAGEIFS(results_gurobi!$F$2:$F$601,results_gurobi!$A$2:$A$601,$M$52,results_gurobi!$B$2:$B$601,$K67,results_gurobi!$D$2:$D$601,$B67)</f>
        <v>9.9999999999999985E-3</v>
      </c>
      <c r="G67" s="22">
        <f>AVERAGEIFS(results_dp!$F$2:$F$601,results_dp!$A$2:$A$601,$N$52,results_dp!$B$2:$B$601,$K67,results_dp!$D$2:$D$601,$B67)</f>
        <v>8.2710000000000008</v>
      </c>
      <c r="H67" s="22">
        <f>AVERAGEIFS(results_gurobi!$F$2:$F$601,results_gurobi!$A$2:$A$601,$N$52,results_gurobi!$B$2:$B$601,$K67,results_gurobi!$D$2:$D$601,$B67)</f>
        <v>1.0999999999999999E-2</v>
      </c>
      <c r="I67" s="22">
        <f>AVERAGEIFS(results_dp!$F$2:$F$601,results_dp!$A$2:$A$601,$O$52,results_dp!$B$2:$B$601,$K67,results_dp!$D$2:$D$601,$B67)</f>
        <v>21.356000000000002</v>
      </c>
      <c r="J67" s="22">
        <f>AVERAGEIFS(results_gurobi!$F$2:$F$601,results_gurobi!$A$2:$A$601,$O$52,results_gurobi!$B$2:$B$601,$K67,results_gurobi!$D$2:$D$601,$B67)</f>
        <v>1.2999999999999998E-2</v>
      </c>
      <c r="K67" s="19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526A3-BAB8-4758-B57E-7FBC299A9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results_dp</vt:lpstr>
      <vt:lpstr>results_gurobi</vt:lpstr>
      <vt:lpstr>results_gurobi_test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Dylan Koenders</dc:creator>
  <cp:keywords/>
  <dc:description/>
  <cp:lastModifiedBy>Dylan Koenders</cp:lastModifiedBy>
  <cp:revision/>
  <dcterms:created xsi:type="dcterms:W3CDTF">2026-03-09T10:59:22Z</dcterms:created>
  <dcterms:modified xsi:type="dcterms:W3CDTF">2026-05-11T13:57:01Z</dcterms:modified>
  <cp:category/>
  <cp:contentStatus/>
</cp:coreProperties>
</file>