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e50fe87d39adb08/Bureaublad/Boeken Econometrie/Jaar 3/Bachelor thesis/bsc-thesis-python-code-main/test/test_results/n_300/"/>
    </mc:Choice>
  </mc:AlternateContent>
  <xr:revisionPtr revIDLastSave="161" documentId="11_F25DC773A252ABDACC1048ACD11B7BD65BDE58ED" xr6:coauthVersionLast="47" xr6:coauthVersionMax="47" xr10:uidLastSave="{284DF776-C28D-4A3A-BB26-6F66CD3801DC}"/>
  <bookViews>
    <workbookView xWindow="-120" yWindow="-120" windowWidth="29040" windowHeight="15720" activeTab="3" xr2:uid="{00000000-000D-0000-FFFF-FFFF00000000}"/>
  </bookViews>
  <sheets>
    <sheet name="heur_norm_A" sheetId="2" r:id="rId1"/>
    <sheet name="heur_A_greedy" sheetId="3" r:id="rId2"/>
    <sheet name="heur_A_dp" sheetId="4" r:id="rId3"/>
    <sheet name="Analysis" sheetId="1" r:id="rId4"/>
  </sheets>
  <externalReferences>
    <externalReference r:id="rId5"/>
  </externalReferences>
  <definedNames>
    <definedName name="_xlnm._FilterDatabase" localSheetId="2" hidden="1">heur_A_dp!$A$1:$N$37</definedName>
    <definedName name="_xlnm._FilterDatabase" localSheetId="1" hidden="1">heur_A_greedy!$A$1:$N$37</definedName>
    <definedName name="_xlnm._FilterDatabase" localSheetId="0" hidden="1">heur_norm_A!$A$1:$N$37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C33" i="1"/>
  <c r="D33" i="1"/>
  <c r="B34" i="1"/>
  <c r="C34" i="1"/>
  <c r="D34" i="1"/>
  <c r="B29" i="1"/>
  <c r="C29" i="1"/>
  <c r="D29" i="1"/>
  <c r="B30" i="1"/>
  <c r="C30" i="1"/>
  <c r="D30" i="1"/>
  <c r="C26" i="1"/>
  <c r="D26" i="1"/>
  <c r="E26" i="1"/>
  <c r="F26" i="1"/>
  <c r="G26" i="1"/>
  <c r="H26" i="1"/>
  <c r="I26" i="1"/>
  <c r="C25" i="1"/>
  <c r="E25" i="1" s="1"/>
  <c r="D25" i="1"/>
  <c r="F25" i="1"/>
  <c r="G25" i="1" s="1"/>
  <c r="H25" i="1"/>
  <c r="I25" i="1"/>
  <c r="C19" i="1"/>
  <c r="E19" i="1" s="1"/>
  <c r="D19" i="1"/>
  <c r="F19" i="1"/>
  <c r="H19" i="1"/>
  <c r="C20" i="1"/>
  <c r="I20" i="1" s="1"/>
  <c r="D20" i="1"/>
  <c r="F20" i="1"/>
  <c r="H20" i="1"/>
  <c r="C21" i="1"/>
  <c r="E21" i="1" s="1"/>
  <c r="D21" i="1"/>
  <c r="F21" i="1"/>
  <c r="G21" i="1" s="1"/>
  <c r="H21" i="1"/>
  <c r="I21" i="1" s="1"/>
  <c r="C22" i="1"/>
  <c r="G22" i="1" s="1"/>
  <c r="D22" i="1"/>
  <c r="E22" i="1" s="1"/>
  <c r="F22" i="1"/>
  <c r="H22" i="1"/>
  <c r="C23" i="1"/>
  <c r="D23" i="1"/>
  <c r="E23" i="1" s="1"/>
  <c r="F23" i="1"/>
  <c r="H23" i="1"/>
  <c r="I23" i="1"/>
  <c r="C24" i="1"/>
  <c r="E24" i="1" s="1"/>
  <c r="D24" i="1"/>
  <c r="F24" i="1"/>
  <c r="H24" i="1"/>
  <c r="C14" i="1"/>
  <c r="D14" i="1"/>
  <c r="E14" i="1"/>
  <c r="F14" i="1"/>
  <c r="G14" i="1"/>
  <c r="H14" i="1"/>
  <c r="I14" i="1"/>
  <c r="J14" i="1"/>
  <c r="K14" i="1"/>
  <c r="L14" i="1"/>
  <c r="C13" i="1"/>
  <c r="D13" i="1"/>
  <c r="E13" i="1"/>
  <c r="F13" i="1"/>
  <c r="G13" i="1"/>
  <c r="H13" i="1"/>
  <c r="I13" i="1"/>
  <c r="J13" i="1"/>
  <c r="K13" i="1"/>
  <c r="L13" i="1"/>
  <c r="C7" i="1"/>
  <c r="D7" i="1"/>
  <c r="E7" i="1"/>
  <c r="F7" i="1"/>
  <c r="G7" i="1"/>
  <c r="H7" i="1"/>
  <c r="I7" i="1"/>
  <c r="J7" i="1"/>
  <c r="K7" i="1"/>
  <c r="L7" i="1"/>
  <c r="C8" i="1"/>
  <c r="D8" i="1"/>
  <c r="E8" i="1"/>
  <c r="F8" i="1"/>
  <c r="G8" i="1"/>
  <c r="H8" i="1"/>
  <c r="I8" i="1"/>
  <c r="J8" i="1"/>
  <c r="K8" i="1"/>
  <c r="L8" i="1"/>
  <c r="C9" i="1"/>
  <c r="D9" i="1"/>
  <c r="E9" i="1"/>
  <c r="F9" i="1"/>
  <c r="G9" i="1"/>
  <c r="H9" i="1"/>
  <c r="I9" i="1"/>
  <c r="J9" i="1"/>
  <c r="K9" i="1"/>
  <c r="L9" i="1"/>
  <c r="C10" i="1"/>
  <c r="D10" i="1"/>
  <c r="E10" i="1"/>
  <c r="F10" i="1"/>
  <c r="G10" i="1"/>
  <c r="H10" i="1"/>
  <c r="I10" i="1"/>
  <c r="J10" i="1"/>
  <c r="K10" i="1"/>
  <c r="L10" i="1"/>
  <c r="C11" i="1"/>
  <c r="D11" i="1"/>
  <c r="E11" i="1"/>
  <c r="F11" i="1"/>
  <c r="G11" i="1"/>
  <c r="H11" i="1"/>
  <c r="I11" i="1"/>
  <c r="J11" i="1"/>
  <c r="K11" i="1"/>
  <c r="L11" i="1"/>
  <c r="C12" i="1"/>
  <c r="D12" i="1"/>
  <c r="E12" i="1"/>
  <c r="F12" i="1"/>
  <c r="G12" i="1"/>
  <c r="H12" i="1"/>
  <c r="I12" i="1"/>
  <c r="J12" i="1"/>
  <c r="K12" i="1"/>
  <c r="L12" i="1"/>
  <c r="E20" i="1" l="1"/>
  <c r="G23" i="1"/>
  <c r="G19" i="1"/>
  <c r="I19" i="1"/>
  <c r="I24" i="1"/>
  <c r="G24" i="1"/>
  <c r="I22" i="1"/>
  <c r="G20" i="1"/>
</calcChain>
</file>

<file path=xl/sharedStrings.xml><?xml version="1.0" encoding="utf-8"?>
<sst xmlns="http://schemas.openxmlformats.org/spreadsheetml/2006/main" count="551" uniqueCount="85">
  <si>
    <t>Scenario 3 &amp; 4 — Heuristic Performance Analysis</t>
  </si>
  <si>
    <t>Runtime &amp; Solution Quality Comparison across heur_norm_A, heur_A_greedy, heur_A_dp</t>
  </si>
  <si>
    <t>1. RUNTIME ANALYSIS (seconds)</t>
  </si>
  <si>
    <t>heur_norm_A</t>
  </si>
  <si>
    <t>heur_A_greedy</t>
  </si>
  <si>
    <t>heur_A_dp</t>
  </si>
  <si>
    <t>Gurobi</t>
  </si>
  <si>
    <t>Scenario</t>
  </si>
  <si>
    <t>Correlation</t>
  </si>
  <si>
    <t>Avg runtime_dp</t>
  </si>
  <si>
    <t>Avg time_A</t>
  </si>
  <si>
    <t>Avg time_bellman</t>
  </si>
  <si>
    <t>Avg runtime</t>
  </si>
  <si>
    <t>Scenario 3</t>
  </si>
  <si>
    <t>correlated</t>
  </si>
  <si>
    <t>fully-correlated</t>
  </si>
  <si>
    <t>not-correlated</t>
  </si>
  <si>
    <t>Scenario 4</t>
  </si>
  <si>
    <t>Scenario 3 Avg</t>
  </si>
  <si>
    <t>Scenario 4 Avg</t>
  </si>
  <si>
    <t>2. SOLUTION QUALITY ANALYSIS</t>
  </si>
  <si>
    <t>Avg obj_gurobi</t>
  </si>
  <si>
    <t>Avg obj_overlap</t>
  </si>
  <si>
    <t>Gap %</t>
  </si>
  <si>
    <t>Scenario 3 Avg runtime_dp</t>
  </si>
  <si>
    <t>Scenario 4 Avg runtime_dp</t>
  </si>
  <si>
    <t>Scenario 3 Optimality Gap</t>
  </si>
  <si>
    <t>Scenario 4 Optimality Gap</t>
  </si>
  <si>
    <t>scenario</t>
  </si>
  <si>
    <t>p_overlap</t>
  </si>
  <si>
    <t>corr_type</t>
  </si>
  <si>
    <t>instance_file</t>
  </si>
  <si>
    <t>n</t>
  </si>
  <si>
    <t>k</t>
  </si>
  <si>
    <t>violations</t>
  </si>
  <si>
    <t>new_sets</t>
  </si>
  <si>
    <t>obj_disjoint</t>
  </si>
  <si>
    <t>obj_overlap</t>
  </si>
  <si>
    <t>runtime_dp</t>
  </si>
  <si>
    <t>time_A</t>
  </si>
  <si>
    <t>time_bellman</t>
  </si>
  <si>
    <t>obj_gurobi</t>
  </si>
  <si>
    <t>violations_gurobi</t>
  </si>
  <si>
    <t>runtime_gurobi</t>
  </si>
  <si>
    <t>scenario 1</t>
  </si>
  <si>
    <t>p_20</t>
  </si>
  <si>
    <t>scen_1id_10_objs_300_size_465_sets_77_k_20_overlap_20_correlated.txt</t>
  </si>
  <si>
    <t>scen_1id_1_objs_300_size_465_sets_74_k_20_overlap_20_correlated.txt</t>
  </si>
  <si>
    <t>scen_1id_2_objs_300_size_465_sets_79_k_20_overlap_20_correlated.txt</t>
  </si>
  <si>
    <t>scen_1id_10_objs_300_size_465_sets_73_k_20_overlap_20_fully-correlated.txt</t>
  </si>
  <si>
    <t>scen_1id_1_objs_300_size_465_sets_78_k_20_overlap_20_fully-correlated.txt</t>
  </si>
  <si>
    <t>scen_1id_2_objs_300_size_465_sets_75_k_20_overlap_20_fully-correlated.txt</t>
  </si>
  <si>
    <t>scen_1id_10_objs_300_size_465_sets_78_k_20_overlap_20_not-correlated.txt</t>
  </si>
  <si>
    <t>scen_1id_1_objs_300_size_465_sets_76_k_20_overlap_20_not-correlated.txt</t>
  </si>
  <si>
    <t>scen_1id_2_objs_300_size_465_sets_74_k_20_overlap_20_not-correlated.txt</t>
  </si>
  <si>
    <t>scenario 2</t>
  </si>
  <si>
    <t>scen_2id_10_objs_300_size_465_sets_33_k_20_overlap_20_correlated.txt</t>
  </si>
  <si>
    <t>scen_2id_1_objs_300_size_465_sets_32_k_20_overlap_20_correlated.txt</t>
  </si>
  <si>
    <t>scen_2id_2_objs_300_size_465_sets_33_k_20_overlap_20_correlated.txt</t>
  </si>
  <si>
    <t>scen_2id_10_objs_300_size_465_sets_30_k_20_overlap_20_fully-correlated.txt</t>
  </si>
  <si>
    <t>scen_2id_1_objs_300_size_465_sets_39_k_20_overlap_20_fully-correlated.txt</t>
  </si>
  <si>
    <t>scen_2id_2_objs_300_size_465_sets_34_k_20_overlap_20_fully-correlated.txt</t>
  </si>
  <si>
    <t>scen_2id_10_objs_300_size_465_sets_35_k_20_overlap_20_not-correlated.txt</t>
  </si>
  <si>
    <t>scen_2id_1_objs_300_size_465_sets_35_k_20_overlap_20_not-correlated.txt</t>
  </si>
  <si>
    <t>scen_2id_2_objs_300_size_465_sets_36_k_20_overlap_20_not-correlated.txt</t>
  </si>
  <si>
    <t>scenario 3</t>
  </si>
  <si>
    <t>scen_3id_10_objs_300_size_465_sets_77_k_20_overlap_20_correlated.txt</t>
  </si>
  <si>
    <t>scen_3id_1_objs_300_size_465_sets_74_k_20_overlap_20_correlated.txt</t>
  </si>
  <si>
    <t>scen_3id_2_objs_300_size_465_sets_79_k_20_overlap_20_correlated.txt</t>
  </si>
  <si>
    <t>scen_3id_10_objs_300_size_465_sets_73_k_20_overlap_20_fully-correlated.txt</t>
  </si>
  <si>
    <t>scen_3id_1_objs_300_size_465_sets_78_k_20_overlap_20_fully-correlated.txt</t>
  </si>
  <si>
    <t>scen_3id_2_objs_300_size_465_sets_75_k_20_overlap_20_fully-correlated.txt</t>
  </si>
  <si>
    <t>scen_3id_10_objs_300_size_465_sets_78_k_20_overlap_20_not-correlated.txt</t>
  </si>
  <si>
    <t>scen_3id_1_objs_300_size_465_sets_76_k_20_overlap_20_not-correlated.txt</t>
  </si>
  <si>
    <t>scen_3id_2_objs_300_size_465_sets_74_k_20_overlap_20_not-correlated.txt</t>
  </si>
  <si>
    <t>scenario 4</t>
  </si>
  <si>
    <t>scen_4id_10_objs_300_size_465_sets_33_k_20_overlap_20_correlated.txt</t>
  </si>
  <si>
    <t>scen_4id_1_objs_300_size_465_sets_32_k_20_overlap_20_correlated.txt</t>
  </si>
  <si>
    <t>scen_4id_2_objs_300_size_465_sets_33_k_20_overlap_20_correlated.txt</t>
  </si>
  <si>
    <t>scen_4id_10_objs_300_size_465_sets_30_k_20_overlap_20_fully-correlated.txt</t>
  </si>
  <si>
    <t>scen_4id_1_objs_300_size_465_sets_39_k_20_overlap_20_fully-correlated.txt</t>
  </si>
  <si>
    <t>scen_4id_2_objs_300_size_465_sets_34_k_20_overlap_20_fully-correlated.txt</t>
  </si>
  <si>
    <t>scen_4id_10_objs_300_size_465_sets_35_k_20_overlap_20_not-correlated.txt</t>
  </si>
  <si>
    <t>scen_4id_1_objs_300_size_465_sets_35_k_20_overlap_20_not-correlated.txt</t>
  </si>
  <si>
    <t>scen_4id_2_objs_300_size_465_sets_36_k_20_overlap_20_not-correlated.txt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</si>
</sst>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54823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0" fontId="1" fillId="4" borderId="1" xfId="0" applyFont="1" applyFill="1" applyBorder="1"/>
    <xf numFmtId="0" fontId="0" fillId="4" borderId="1" xfId="0" applyFill="1" applyBorder="1"/>
    <xf numFmtId="2" fontId="1" fillId="4" borderId="1" xfId="0" applyNumberFormat="1" applyFont="1" applyFill="1" applyBorder="1"/>
    <xf numFmtId="164" fontId="1" fillId="4" borderId="1" xfId="0" applyNumberFormat="1" applyFont="1" applyFill="1" applyBorder="1"/>
    <xf numFmtId="0" fontId="4" fillId="5" borderId="0" xfId="0" applyFont="1" applyFill="1"/>
    <xf numFmtId="0" fontId="0" fillId="5" borderId="0" xfId="0" applyFill="1"/>
    <xf numFmtId="3" fontId="0" fillId="0" borderId="1" xfId="0" applyNumberFormat="1" applyBorder="1"/>
    <xf numFmtId="165" fontId="0" fillId="0" borderId="1" xfId="0" applyNumberFormat="1" applyBorder="1"/>
    <xf numFmtId="3" fontId="1" fillId="4" borderId="1" xfId="0" applyNumberFormat="1" applyFont="1" applyFill="1" applyBorder="1"/>
    <xf numFmtId="165" fontId="1" fillId="4" borderId="1" xfId="0" applyNumberFormat="1" applyFont="1" applyFill="1" applyBorder="1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Total Runtime (runtime_dp) — Scenario 3 &amp;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Analysis!$A$30</c:f>
              <c:strCache>
                <c:ptCount val="1"/>
                <c:pt idx="0">
                  <c:v>Scenario 4 Avg runtime_dp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Analysis!$B$28:$D$28</c:f>
              <c:strCache>
                <c:ptCount val="3"/>
                <c:pt idx="0">
                  <c:v>heur_norm_A</c:v>
                </c:pt>
                <c:pt idx="1">
                  <c:v>heur_A_greedy</c:v>
                </c:pt>
                <c:pt idx="2">
                  <c:v>heur_A_dp</c:v>
                </c:pt>
              </c:strCache>
            </c:strRef>
          </c:cat>
          <c:val>
            <c:numRef>
              <c:f>Analysis!$B$30:$D$30</c:f>
              <c:numCache>
                <c:formatCode>0.000</c:formatCode>
                <c:ptCount val="3"/>
                <c:pt idx="0" formatCode="0.00">
                  <c:v>7.1111111111111111E-2</c:v>
                </c:pt>
                <c:pt idx="1">
                  <c:v>0.02</c:v>
                </c:pt>
                <c:pt idx="2">
                  <c:v>3.3333333333333333E-2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7-4E89-9E25-E33BBDAC21E5}"/>
            </c:ext>
          </c:extLst>
        </c:ser>
        <c:ser>
          <c:idx val="1"/>
          <c:order val="1"/>
          <c:tx>
            <c:strRef>
              <c:f>Analysis!$A$29</c:f>
              <c:strCache>
                <c:ptCount val="1"/>
                <c:pt idx="0">
                  <c:v>Scenario 3 Avg runtime_dp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Analysis!$B$28:$D$28</c:f>
              <c:strCache>
                <c:ptCount val="3"/>
                <c:pt idx="0">
                  <c:v>heur_norm_A</c:v>
                </c:pt>
                <c:pt idx="1">
                  <c:v>heur_A_greedy</c:v>
                </c:pt>
                <c:pt idx="2">
                  <c:v>heur_A_dp</c:v>
                </c:pt>
              </c:strCache>
            </c:strRef>
          </c:cat>
          <c:val>
            <c:numRef>
              <c:f>Analysis!$B$29:$D$29</c:f>
              <c:numCache>
                <c:formatCode>0.000</c:formatCode>
                <c:ptCount val="3"/>
                <c:pt idx="0" formatCode="0.00">
                  <c:v>0.06</c:v>
                </c:pt>
                <c:pt idx="1">
                  <c:v>3.2222222222222222E-2</c:v>
                </c:pt>
                <c:pt idx="2">
                  <c:v>4.2222222222222223E-2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07-4E89-9E25-E33BBDAC2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4565935"/>
        <c:axId val="394567855"/>
      </c:barChart>
      <c:catAx>
        <c:axId val="39456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567855"/>
        <c:crosses val="autoZero"/>
        <c:auto val="1"/>
        <c:lblAlgn val="ctr"/>
        <c:lblOffset val="100"/>
        <c:noMultiLvlLbl val="0"/>
      </c:catAx>
      <c:valAx>
        <c:axId val="39456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56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Optimality Gap (% below Gurobi) — Scenario 3 &amp;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Analysis!$A$34</c:f>
              <c:strCache>
                <c:ptCount val="1"/>
                <c:pt idx="0">
                  <c:v>Scenario 4 Optimality Gap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Analysis!$B$32:$D$32</c:f>
              <c:strCache>
                <c:ptCount val="3"/>
                <c:pt idx="0">
                  <c:v>heur_norm_A</c:v>
                </c:pt>
                <c:pt idx="1">
                  <c:v>heur_A_greedy</c:v>
                </c:pt>
                <c:pt idx="2">
                  <c:v>heur_A_dp</c:v>
                </c:pt>
              </c:strCache>
            </c:strRef>
          </c:cat>
          <c:val>
            <c:numRef>
              <c:f>Analysis!$B$34:$D$34</c:f>
              <c:numCache>
                <c:formatCode>0.0%</c:formatCode>
                <c:ptCount val="3"/>
                <c:pt idx="0">
                  <c:v>9.5024835111147343E-2</c:v>
                </c:pt>
                <c:pt idx="1">
                  <c:v>0.30494259425128251</c:v>
                </c:pt>
                <c:pt idx="2">
                  <c:v>0.10247536845533745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7-42F5-BA65-DB11686B4B56}"/>
            </c:ext>
          </c:extLst>
        </c:ser>
        <c:ser>
          <c:idx val="1"/>
          <c:order val="1"/>
          <c:tx>
            <c:strRef>
              <c:f>Analysis!$A$33</c:f>
              <c:strCache>
                <c:ptCount val="1"/>
                <c:pt idx="0">
                  <c:v>Scenario 3 Optimality Gap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Analysis!$B$32:$D$32</c:f>
              <c:strCache>
                <c:ptCount val="3"/>
                <c:pt idx="0">
                  <c:v>heur_norm_A</c:v>
                </c:pt>
                <c:pt idx="1">
                  <c:v>heur_A_greedy</c:v>
                </c:pt>
                <c:pt idx="2">
                  <c:v>heur_A_dp</c:v>
                </c:pt>
              </c:strCache>
            </c:strRef>
          </c:cat>
          <c:val>
            <c:numRef>
              <c:f>Analysis!$B$33:$D$33</c:f>
              <c:numCache>
                <c:formatCode>0.0%</c:formatCode>
                <c:ptCount val="3"/>
                <c:pt idx="0">
                  <c:v>0.16465733473582</c:v>
                </c:pt>
                <c:pt idx="1">
                  <c:v>0.2524476090298568</c:v>
                </c:pt>
                <c:pt idx="2">
                  <c:v>0.16926935836232695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D7-42F5-BA65-DB11686B4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6467023"/>
        <c:axId val="396479503"/>
      </c:barChart>
      <c:catAx>
        <c:axId val="396467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479503"/>
        <c:crosses val="autoZero"/>
        <c:auto val="1"/>
        <c:lblAlgn val="ctr"/>
        <c:lblOffset val="100"/>
        <c:noMultiLvlLbl val="0"/>
      </c:catAx>
      <c:valAx>
        <c:axId val="39647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46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0</xdr:rowOff>
    </xdr:from>
    <xdr:to>
      <xdr:col>3</xdr:col>
      <xdr:colOff>561975</xdr:colOff>
      <xdr:row>49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592E20-E74D-8AE5-5D85-3F83ABAA5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35</xdr:row>
      <xdr:rowOff>0</xdr:rowOff>
    </xdr:from>
    <xdr:to>
      <xdr:col>8</xdr:col>
      <xdr:colOff>942975</xdr:colOff>
      <xdr:row>49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B4EC39-79B0-BDA4-8C45-D1E02A9F85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n_1000/Analysis_1000.xlsx" TargetMode="External"/><Relationship Id="rId2" Type="http://schemas.openxmlformats.org/officeDocument/2006/relationships/externalLinkPath" Target="https://d.docs.live.net/ce50fe87d39adb08/Bureaublad/Boeken%20Econometrie/Jaar%203/Bachelor%20thesis/bsc-thesis-python-code-main/test/test_results/n_1000/Analysis_1000.xlsx" TargetMode="External"/><Relationship Id="rId1" Type="http://schemas.openxmlformats.org/officeDocument/2006/relationships/externalLinkPath" Target="/ce50fe87d39adb08/Bureaublad/Boeken%20Econometrie/Jaar%203/Bachelor%20thesis/bsc-thesis-python-code-main/test/test_results/n_1000/Analysis_1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eur_norm_A"/>
      <sheetName val="heur_A_greedy"/>
      <sheetName val="heur_A_dp"/>
      <sheetName val="Analysis"/>
    </sheetNames>
    <sheetDataSet>
      <sheetData sheetId="0" refreshError="1"/>
      <sheetData sheetId="1" refreshError="1"/>
      <sheetData sheetId="2" refreshError="1"/>
      <sheetData sheetId="3">
        <row r="28">
          <cell r="B28" t="str">
            <v>heur_norm_A</v>
          </cell>
          <cell r="C28" t="str">
            <v>heur_A_greedy</v>
          </cell>
          <cell r="D28" t="str">
            <v>heur_A_dp</v>
          </cell>
        </row>
        <row r="29">
          <cell r="A29" t="str">
            <v>Scenario 3 Avg runtime_dp</v>
          </cell>
          <cell r="B29">
            <v>2.0766666666666667</v>
          </cell>
          <cell r="C29">
            <v>0.15333333333333335</v>
          </cell>
          <cell r="D29">
            <v>1.7555555555555555</v>
          </cell>
        </row>
        <row r="30">
          <cell r="A30" t="str">
            <v>Scenario 4 Avg runtime_dp</v>
          </cell>
          <cell r="B30">
            <v>2.4888888888888889</v>
          </cell>
          <cell r="C30">
            <v>0.10222222222222221</v>
          </cell>
          <cell r="D30">
            <v>1.1311111111111112</v>
          </cell>
        </row>
        <row r="32">
          <cell r="B32" t="str">
            <v>heur_norm_A</v>
          </cell>
          <cell r="C32" t="str">
            <v>heur_A_greedy</v>
          </cell>
          <cell r="D32" t="str">
            <v>heur_A_dp</v>
          </cell>
        </row>
        <row r="33">
          <cell r="A33" t="str">
            <v>Scenario 3 Optimality Gap</v>
          </cell>
          <cell r="B33">
            <v>9.9161770851257144E-2</v>
          </cell>
          <cell r="C33">
            <v>0.37607236793589138</v>
          </cell>
          <cell r="D33">
            <v>0.10176740984734881</v>
          </cell>
        </row>
        <row r="34">
          <cell r="A34" t="str">
            <v>Scenario 4 Optimality Gap</v>
          </cell>
          <cell r="B34">
            <v>8.6456181764532375E-2</v>
          </cell>
          <cell r="C34">
            <v>0.55788334808694806</v>
          </cell>
          <cell r="D34">
            <v>9.201337661060284E-2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3F0178-CA85-40A6-A3F5-F442B41563DE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A3AA4-9489-4496-BB71-BD259AC0D42A}">
  <dimension ref="A1:P37"/>
  <sheetViews>
    <sheetView workbookViewId="0">
      <selection sqref="A1:A37"/>
    </sheetView>
  </sheetViews>
  <sheetFormatPr defaultRowHeight="15" x14ac:dyDescent="0.25"/>
  <cols>
    <col min="1" max="1" width="10.7109375" bestFit="1" customWidth="1"/>
    <col min="2" max="2" width="12.140625" bestFit="1" customWidth="1"/>
    <col min="3" max="3" width="15" bestFit="1" customWidth="1"/>
    <col min="4" max="4" width="72.140625" bestFit="1" customWidth="1"/>
    <col min="5" max="5" width="4.42578125" bestFit="1" customWidth="1"/>
    <col min="6" max="6" width="4.28515625" bestFit="1" customWidth="1"/>
    <col min="7" max="7" width="12" bestFit="1" customWidth="1"/>
    <col min="8" max="8" width="11.7109375" bestFit="1" customWidth="1"/>
    <col min="9" max="10" width="13.85546875" bestFit="1" customWidth="1"/>
    <col min="11" max="11" width="13.7109375" bestFit="1" customWidth="1"/>
    <col min="12" max="12" width="9.7109375" bestFit="1" customWidth="1"/>
    <col min="13" max="13" width="15.85546875" bestFit="1" customWidth="1"/>
    <col min="14" max="14" width="12.85546875" bestFit="1" customWidth="1"/>
  </cols>
  <sheetData>
    <row r="1" spans="1:16" s="21" customFormat="1" x14ac:dyDescent="0.25">
      <c r="A1" s="21" t="s">
        <v>28</v>
      </c>
      <c r="B1" s="21" t="s">
        <v>29</v>
      </c>
      <c r="C1" s="21" t="s">
        <v>30</v>
      </c>
      <c r="D1" s="21" t="s">
        <v>31</v>
      </c>
      <c r="E1" s="21" t="s">
        <v>32</v>
      </c>
      <c r="F1" s="21" t="s">
        <v>33</v>
      </c>
      <c r="G1" s="21" t="s">
        <v>34</v>
      </c>
      <c r="H1" s="21" t="s">
        <v>35</v>
      </c>
      <c r="I1" s="21" t="s">
        <v>36</v>
      </c>
      <c r="J1" s="21" t="s">
        <v>37</v>
      </c>
      <c r="K1" s="21" t="s">
        <v>38</v>
      </c>
      <c r="L1" s="21" t="s">
        <v>39</v>
      </c>
      <c r="M1" s="21" t="s">
        <v>40</v>
      </c>
      <c r="N1" s="21" t="s">
        <v>41</v>
      </c>
      <c r="O1" s="21" t="s">
        <v>42</v>
      </c>
      <c r="P1" s="21" t="s">
        <v>43</v>
      </c>
    </row>
    <row r="2" spans="1:16" x14ac:dyDescent="0.25">
      <c r="A2" t="s">
        <v>44</v>
      </c>
      <c r="B2" t="s">
        <v>45</v>
      </c>
      <c r="C2" t="s">
        <v>14</v>
      </c>
      <c r="D2" t="s">
        <v>46</v>
      </c>
      <c r="E2">
        <v>300</v>
      </c>
      <c r="F2">
        <v>20</v>
      </c>
      <c r="G2">
        <v>3</v>
      </c>
      <c r="H2">
        <v>67</v>
      </c>
      <c r="I2">
        <v>633</v>
      </c>
      <c r="J2">
        <v>663</v>
      </c>
      <c r="K2">
        <v>0.09</v>
      </c>
      <c r="L2">
        <v>0.02</v>
      </c>
      <c r="M2">
        <v>0.06</v>
      </c>
      <c r="N2">
        <v>1205</v>
      </c>
      <c r="O2">
        <v>13</v>
      </c>
      <c r="P2">
        <v>0.03</v>
      </c>
    </row>
    <row r="3" spans="1:16" x14ac:dyDescent="0.25">
      <c r="A3" t="s">
        <v>44</v>
      </c>
      <c r="B3" t="s">
        <v>45</v>
      </c>
      <c r="C3" t="s">
        <v>14</v>
      </c>
      <c r="D3" t="s">
        <v>47</v>
      </c>
      <c r="E3">
        <v>300</v>
      </c>
      <c r="F3">
        <v>20</v>
      </c>
      <c r="G3">
        <v>7</v>
      </c>
      <c r="H3">
        <v>52</v>
      </c>
      <c r="I3">
        <v>735</v>
      </c>
      <c r="J3">
        <v>738</v>
      </c>
      <c r="K3">
        <v>0.11</v>
      </c>
      <c r="L3">
        <v>0.02</v>
      </c>
      <c r="M3">
        <v>0.08</v>
      </c>
      <c r="N3">
        <v>1148</v>
      </c>
      <c r="O3">
        <v>9</v>
      </c>
      <c r="P3">
        <v>0.01</v>
      </c>
    </row>
    <row r="4" spans="1:16" x14ac:dyDescent="0.25">
      <c r="A4" t="s">
        <v>44</v>
      </c>
      <c r="B4" t="s">
        <v>45</v>
      </c>
      <c r="C4" t="s">
        <v>14</v>
      </c>
      <c r="D4" t="s">
        <v>48</v>
      </c>
      <c r="E4">
        <v>300</v>
      </c>
      <c r="F4">
        <v>20</v>
      </c>
      <c r="G4">
        <v>8</v>
      </c>
      <c r="H4">
        <v>54</v>
      </c>
      <c r="I4">
        <v>705</v>
      </c>
      <c r="J4">
        <v>709</v>
      </c>
      <c r="K4">
        <v>0.1</v>
      </c>
      <c r="L4">
        <v>0.02</v>
      </c>
      <c r="M4">
        <v>0.06</v>
      </c>
      <c r="N4">
        <v>1212</v>
      </c>
      <c r="O4">
        <v>10</v>
      </c>
      <c r="P4">
        <v>0.02</v>
      </c>
    </row>
    <row r="5" spans="1:16" x14ac:dyDescent="0.25">
      <c r="A5" t="s">
        <v>44</v>
      </c>
      <c r="B5" t="s">
        <v>45</v>
      </c>
      <c r="C5" t="s">
        <v>15</v>
      </c>
      <c r="D5" t="s">
        <v>49</v>
      </c>
      <c r="E5">
        <v>300</v>
      </c>
      <c r="F5">
        <v>20</v>
      </c>
      <c r="G5">
        <v>5</v>
      </c>
      <c r="H5">
        <v>59</v>
      </c>
      <c r="I5">
        <v>676</v>
      </c>
      <c r="J5">
        <v>696</v>
      </c>
      <c r="K5">
        <v>0.1</v>
      </c>
      <c r="L5">
        <v>0.01</v>
      </c>
      <c r="M5">
        <v>7.0000000000000007E-2</v>
      </c>
      <c r="N5">
        <v>1152</v>
      </c>
      <c r="O5">
        <v>13</v>
      </c>
      <c r="P5">
        <v>0.01</v>
      </c>
    </row>
    <row r="6" spans="1:16" x14ac:dyDescent="0.25">
      <c r="A6" t="s">
        <v>44</v>
      </c>
      <c r="B6" t="s">
        <v>45</v>
      </c>
      <c r="C6" t="s">
        <v>15</v>
      </c>
      <c r="D6" t="s">
        <v>50</v>
      </c>
      <c r="E6">
        <v>300</v>
      </c>
      <c r="F6">
        <v>20</v>
      </c>
      <c r="G6">
        <v>8</v>
      </c>
      <c r="H6">
        <v>65</v>
      </c>
      <c r="I6">
        <v>732</v>
      </c>
      <c r="J6">
        <v>738</v>
      </c>
      <c r="K6">
        <v>0.1</v>
      </c>
      <c r="L6">
        <v>0.02</v>
      </c>
      <c r="M6">
        <v>0.06</v>
      </c>
      <c r="N6">
        <v>1155</v>
      </c>
      <c r="O6">
        <v>13</v>
      </c>
      <c r="P6">
        <v>0.01</v>
      </c>
    </row>
    <row r="7" spans="1:16" x14ac:dyDescent="0.25">
      <c r="A7" t="s">
        <v>44</v>
      </c>
      <c r="B7" t="s">
        <v>45</v>
      </c>
      <c r="C7" t="s">
        <v>15</v>
      </c>
      <c r="D7" t="s">
        <v>51</v>
      </c>
      <c r="E7">
        <v>300</v>
      </c>
      <c r="F7">
        <v>20</v>
      </c>
      <c r="G7">
        <v>5</v>
      </c>
      <c r="H7">
        <v>60</v>
      </c>
      <c r="I7">
        <v>666</v>
      </c>
      <c r="J7">
        <v>691</v>
      </c>
      <c r="K7">
        <v>0.11</v>
      </c>
      <c r="L7">
        <v>0.03</v>
      </c>
      <c r="M7">
        <v>7.0000000000000007E-2</v>
      </c>
      <c r="N7">
        <v>1182</v>
      </c>
      <c r="O7">
        <v>9</v>
      </c>
      <c r="P7">
        <v>0.01</v>
      </c>
    </row>
    <row r="8" spans="1:16" x14ac:dyDescent="0.25">
      <c r="A8" t="s">
        <v>44</v>
      </c>
      <c r="B8" t="s">
        <v>45</v>
      </c>
      <c r="C8" t="s">
        <v>16</v>
      </c>
      <c r="D8" t="s">
        <v>52</v>
      </c>
      <c r="E8">
        <v>300</v>
      </c>
      <c r="F8">
        <v>20</v>
      </c>
      <c r="G8">
        <v>3</v>
      </c>
      <c r="H8">
        <v>65</v>
      </c>
      <c r="I8">
        <v>439</v>
      </c>
      <c r="J8">
        <v>467</v>
      </c>
      <c r="K8">
        <v>0.09</v>
      </c>
      <c r="L8">
        <v>0.02</v>
      </c>
      <c r="M8">
        <v>0.06</v>
      </c>
      <c r="N8">
        <v>1427</v>
      </c>
      <c r="O8">
        <v>20</v>
      </c>
      <c r="P8">
        <v>0.01</v>
      </c>
    </row>
    <row r="9" spans="1:16" x14ac:dyDescent="0.25">
      <c r="A9" t="s">
        <v>44</v>
      </c>
      <c r="B9" t="s">
        <v>45</v>
      </c>
      <c r="C9" t="s">
        <v>16</v>
      </c>
      <c r="D9" t="s">
        <v>53</v>
      </c>
      <c r="E9">
        <v>300</v>
      </c>
      <c r="F9">
        <v>20</v>
      </c>
      <c r="G9">
        <v>2</v>
      </c>
      <c r="H9">
        <v>59</v>
      </c>
      <c r="I9">
        <v>447</v>
      </c>
      <c r="J9">
        <v>475</v>
      </c>
      <c r="K9">
        <v>0.08</v>
      </c>
      <c r="L9">
        <v>0.02</v>
      </c>
      <c r="M9">
        <v>0.05</v>
      </c>
      <c r="N9">
        <v>1467</v>
      </c>
      <c r="O9">
        <v>20</v>
      </c>
      <c r="P9">
        <v>0.01</v>
      </c>
    </row>
    <row r="10" spans="1:16" x14ac:dyDescent="0.25">
      <c r="A10" t="s">
        <v>44</v>
      </c>
      <c r="B10" t="s">
        <v>45</v>
      </c>
      <c r="C10" t="s">
        <v>16</v>
      </c>
      <c r="D10" t="s">
        <v>54</v>
      </c>
      <c r="E10">
        <v>300</v>
      </c>
      <c r="F10">
        <v>20</v>
      </c>
      <c r="G10">
        <v>2</v>
      </c>
      <c r="H10">
        <v>62</v>
      </c>
      <c r="I10">
        <v>682</v>
      </c>
      <c r="J10">
        <v>716</v>
      </c>
      <c r="K10">
        <v>0.08</v>
      </c>
      <c r="L10">
        <v>0.02</v>
      </c>
      <c r="M10">
        <v>0.05</v>
      </c>
      <c r="N10">
        <v>1434</v>
      </c>
      <c r="O10">
        <v>9</v>
      </c>
      <c r="P10">
        <v>0.01</v>
      </c>
    </row>
    <row r="11" spans="1:16" x14ac:dyDescent="0.25">
      <c r="A11" t="s">
        <v>55</v>
      </c>
      <c r="B11" t="s">
        <v>45</v>
      </c>
      <c r="C11" t="s">
        <v>14</v>
      </c>
      <c r="D11" t="s">
        <v>56</v>
      </c>
      <c r="E11">
        <v>300</v>
      </c>
      <c r="F11">
        <v>20</v>
      </c>
      <c r="G11">
        <v>2</v>
      </c>
      <c r="H11">
        <v>52</v>
      </c>
      <c r="I11">
        <v>400</v>
      </c>
      <c r="J11">
        <v>415</v>
      </c>
      <c r="K11">
        <v>0.28999999999999998</v>
      </c>
      <c r="L11">
        <v>0.01</v>
      </c>
      <c r="M11">
        <v>0.26</v>
      </c>
      <c r="N11">
        <v>973</v>
      </c>
      <c r="O11">
        <v>20</v>
      </c>
      <c r="P11">
        <v>0.01</v>
      </c>
    </row>
    <row r="12" spans="1:16" x14ac:dyDescent="0.25">
      <c r="A12" t="s">
        <v>55</v>
      </c>
      <c r="B12" t="s">
        <v>45</v>
      </c>
      <c r="C12" t="s">
        <v>14</v>
      </c>
      <c r="D12" t="s">
        <v>57</v>
      </c>
      <c r="E12">
        <v>300</v>
      </c>
      <c r="F12">
        <v>20</v>
      </c>
      <c r="G12">
        <v>2</v>
      </c>
      <c r="H12">
        <v>64</v>
      </c>
      <c r="I12">
        <v>365</v>
      </c>
      <c r="J12">
        <v>387</v>
      </c>
      <c r="K12">
        <v>0.25</v>
      </c>
      <c r="L12">
        <v>0.02</v>
      </c>
      <c r="M12">
        <v>0.22</v>
      </c>
      <c r="N12">
        <v>965</v>
      </c>
      <c r="O12">
        <v>20</v>
      </c>
      <c r="P12">
        <v>0.01</v>
      </c>
    </row>
    <row r="13" spans="1:16" x14ac:dyDescent="0.25">
      <c r="A13" t="s">
        <v>55</v>
      </c>
      <c r="B13" t="s">
        <v>45</v>
      </c>
      <c r="C13" t="s">
        <v>14</v>
      </c>
      <c r="D13" t="s">
        <v>58</v>
      </c>
      <c r="E13">
        <v>300</v>
      </c>
      <c r="F13">
        <v>20</v>
      </c>
      <c r="G13">
        <v>3</v>
      </c>
      <c r="H13">
        <v>51</v>
      </c>
      <c r="I13">
        <v>399</v>
      </c>
      <c r="J13">
        <v>416</v>
      </c>
      <c r="K13">
        <v>0.35</v>
      </c>
      <c r="L13">
        <v>0.02</v>
      </c>
      <c r="M13">
        <v>0.31</v>
      </c>
      <c r="N13">
        <v>964</v>
      </c>
      <c r="O13">
        <v>20</v>
      </c>
      <c r="P13">
        <v>0.01</v>
      </c>
    </row>
    <row r="14" spans="1:16" x14ac:dyDescent="0.25">
      <c r="A14" t="s">
        <v>55</v>
      </c>
      <c r="B14" t="s">
        <v>45</v>
      </c>
      <c r="C14" t="s">
        <v>15</v>
      </c>
      <c r="D14" t="s">
        <v>59</v>
      </c>
      <c r="E14">
        <v>300</v>
      </c>
      <c r="F14">
        <v>20</v>
      </c>
      <c r="G14">
        <v>4</v>
      </c>
      <c r="H14">
        <v>50</v>
      </c>
      <c r="I14">
        <v>357</v>
      </c>
      <c r="J14">
        <v>378</v>
      </c>
      <c r="K14">
        <v>0.3</v>
      </c>
      <c r="L14">
        <v>0.02</v>
      </c>
      <c r="M14">
        <v>0.28000000000000003</v>
      </c>
      <c r="N14">
        <v>905</v>
      </c>
      <c r="O14">
        <v>20</v>
      </c>
      <c r="P14">
        <v>0.02</v>
      </c>
    </row>
    <row r="15" spans="1:16" x14ac:dyDescent="0.25">
      <c r="A15" t="s">
        <v>55</v>
      </c>
      <c r="B15" t="s">
        <v>45</v>
      </c>
      <c r="C15" t="s">
        <v>15</v>
      </c>
      <c r="D15" t="s">
        <v>60</v>
      </c>
      <c r="E15">
        <v>300</v>
      </c>
      <c r="F15">
        <v>20</v>
      </c>
      <c r="G15">
        <v>1</v>
      </c>
      <c r="H15">
        <v>49</v>
      </c>
      <c r="I15">
        <v>380</v>
      </c>
      <c r="J15">
        <v>416</v>
      </c>
      <c r="K15">
        <v>0.23</v>
      </c>
      <c r="L15">
        <v>0.02</v>
      </c>
      <c r="M15">
        <v>0.2</v>
      </c>
      <c r="N15">
        <v>985</v>
      </c>
      <c r="O15">
        <v>20</v>
      </c>
      <c r="P15">
        <v>0.01</v>
      </c>
    </row>
    <row r="16" spans="1:16" x14ac:dyDescent="0.25">
      <c r="A16" t="s">
        <v>55</v>
      </c>
      <c r="B16" t="s">
        <v>45</v>
      </c>
      <c r="C16" t="s">
        <v>15</v>
      </c>
      <c r="D16" t="s">
        <v>61</v>
      </c>
      <c r="E16">
        <v>300</v>
      </c>
      <c r="F16">
        <v>20</v>
      </c>
      <c r="G16">
        <v>3</v>
      </c>
      <c r="H16">
        <v>55</v>
      </c>
      <c r="I16">
        <v>427</v>
      </c>
      <c r="J16">
        <v>455</v>
      </c>
      <c r="K16">
        <v>0.23</v>
      </c>
      <c r="L16">
        <v>0.01</v>
      </c>
      <c r="M16">
        <v>0.21</v>
      </c>
      <c r="N16">
        <v>945</v>
      </c>
      <c r="O16">
        <v>20</v>
      </c>
      <c r="P16">
        <v>0.01</v>
      </c>
    </row>
    <row r="17" spans="1:16" x14ac:dyDescent="0.25">
      <c r="A17" t="s">
        <v>55</v>
      </c>
      <c r="B17" t="s">
        <v>45</v>
      </c>
      <c r="C17" t="s">
        <v>16</v>
      </c>
      <c r="D17" t="s">
        <v>62</v>
      </c>
      <c r="E17">
        <v>300</v>
      </c>
      <c r="F17">
        <v>20</v>
      </c>
      <c r="G17">
        <v>3</v>
      </c>
      <c r="H17">
        <v>47</v>
      </c>
      <c r="I17">
        <v>345</v>
      </c>
      <c r="J17">
        <v>371</v>
      </c>
      <c r="K17">
        <v>0.25</v>
      </c>
      <c r="L17">
        <v>0.02</v>
      </c>
      <c r="M17">
        <v>0.23</v>
      </c>
      <c r="N17">
        <v>1155</v>
      </c>
      <c r="O17">
        <v>20</v>
      </c>
      <c r="P17">
        <v>0.02</v>
      </c>
    </row>
    <row r="18" spans="1:16" x14ac:dyDescent="0.25">
      <c r="A18" t="s">
        <v>55</v>
      </c>
      <c r="B18" t="s">
        <v>45</v>
      </c>
      <c r="C18" t="s">
        <v>16</v>
      </c>
      <c r="D18" t="s">
        <v>63</v>
      </c>
      <c r="E18">
        <v>300</v>
      </c>
      <c r="F18">
        <v>20</v>
      </c>
      <c r="G18">
        <v>4</v>
      </c>
      <c r="H18">
        <v>66</v>
      </c>
      <c r="I18">
        <v>263</v>
      </c>
      <c r="J18">
        <v>283</v>
      </c>
      <c r="K18">
        <v>0.23</v>
      </c>
      <c r="L18">
        <v>0.02</v>
      </c>
      <c r="M18">
        <v>0.2</v>
      </c>
      <c r="N18">
        <v>1083</v>
      </c>
      <c r="O18">
        <v>20</v>
      </c>
      <c r="P18">
        <v>0.01</v>
      </c>
    </row>
    <row r="19" spans="1:16" x14ac:dyDescent="0.25">
      <c r="A19" t="s">
        <v>55</v>
      </c>
      <c r="B19" t="s">
        <v>45</v>
      </c>
      <c r="C19" t="s">
        <v>16</v>
      </c>
      <c r="D19" t="s">
        <v>64</v>
      </c>
      <c r="E19">
        <v>300</v>
      </c>
      <c r="F19">
        <v>20</v>
      </c>
      <c r="G19">
        <v>5</v>
      </c>
      <c r="H19">
        <v>54</v>
      </c>
      <c r="I19">
        <v>276</v>
      </c>
      <c r="J19">
        <v>294</v>
      </c>
      <c r="K19">
        <v>0.24</v>
      </c>
      <c r="L19">
        <v>0.02</v>
      </c>
      <c r="M19">
        <v>0.2</v>
      </c>
      <c r="N19">
        <v>1241</v>
      </c>
      <c r="O19">
        <v>20</v>
      </c>
      <c r="P19">
        <v>0.01</v>
      </c>
    </row>
    <row r="20" spans="1:16" x14ac:dyDescent="0.25">
      <c r="A20" t="s">
        <v>65</v>
      </c>
      <c r="B20" t="s">
        <v>45</v>
      </c>
      <c r="C20" t="s">
        <v>14</v>
      </c>
      <c r="D20" t="s">
        <v>66</v>
      </c>
      <c r="E20">
        <v>300</v>
      </c>
      <c r="F20">
        <v>20</v>
      </c>
      <c r="G20">
        <v>8</v>
      </c>
      <c r="H20">
        <v>47</v>
      </c>
      <c r="I20">
        <v>1235</v>
      </c>
      <c r="J20">
        <v>1169</v>
      </c>
      <c r="K20">
        <v>0.06</v>
      </c>
      <c r="L20">
        <v>0.01</v>
      </c>
      <c r="M20">
        <v>0.03</v>
      </c>
      <c r="N20">
        <v>1333</v>
      </c>
      <c r="O20">
        <v>1</v>
      </c>
      <c r="P20">
        <v>0.02</v>
      </c>
    </row>
    <row r="21" spans="1:16" x14ac:dyDescent="0.25">
      <c r="A21" t="s">
        <v>65</v>
      </c>
      <c r="B21" t="s">
        <v>45</v>
      </c>
      <c r="C21" t="s">
        <v>14</v>
      </c>
      <c r="D21" t="s">
        <v>67</v>
      </c>
      <c r="E21">
        <v>300</v>
      </c>
      <c r="F21">
        <v>20</v>
      </c>
      <c r="G21">
        <v>18</v>
      </c>
      <c r="H21">
        <v>74</v>
      </c>
      <c r="I21">
        <v>1133</v>
      </c>
      <c r="J21">
        <v>961</v>
      </c>
      <c r="K21">
        <v>0.06</v>
      </c>
      <c r="L21">
        <v>0.03</v>
      </c>
      <c r="M21">
        <v>0.03</v>
      </c>
      <c r="N21">
        <v>1193</v>
      </c>
      <c r="O21">
        <v>1</v>
      </c>
      <c r="P21">
        <v>0.01</v>
      </c>
    </row>
    <row r="22" spans="1:16" x14ac:dyDescent="0.25">
      <c r="A22" t="s">
        <v>65</v>
      </c>
      <c r="B22" t="s">
        <v>45</v>
      </c>
      <c r="C22" t="s">
        <v>14</v>
      </c>
      <c r="D22" t="s">
        <v>68</v>
      </c>
      <c r="E22">
        <v>300</v>
      </c>
      <c r="F22">
        <v>20</v>
      </c>
      <c r="G22">
        <v>8</v>
      </c>
      <c r="H22">
        <v>50</v>
      </c>
      <c r="I22">
        <v>1261</v>
      </c>
      <c r="J22">
        <v>1202</v>
      </c>
      <c r="K22">
        <v>0.06</v>
      </c>
      <c r="L22">
        <v>0.03</v>
      </c>
      <c r="M22">
        <v>0.03</v>
      </c>
      <c r="N22">
        <v>1360</v>
      </c>
      <c r="O22">
        <v>5</v>
      </c>
      <c r="P22">
        <v>0.01</v>
      </c>
    </row>
    <row r="23" spans="1:16" x14ac:dyDescent="0.25">
      <c r="A23" t="s">
        <v>65</v>
      </c>
      <c r="B23" t="s">
        <v>45</v>
      </c>
      <c r="C23" t="s">
        <v>15</v>
      </c>
      <c r="D23" t="s">
        <v>69</v>
      </c>
      <c r="E23">
        <v>300</v>
      </c>
      <c r="F23">
        <v>20</v>
      </c>
      <c r="G23">
        <v>9</v>
      </c>
      <c r="H23">
        <v>49</v>
      </c>
      <c r="I23">
        <v>1178</v>
      </c>
      <c r="J23">
        <v>1095</v>
      </c>
      <c r="K23">
        <v>0.06</v>
      </c>
      <c r="L23">
        <v>0.03</v>
      </c>
      <c r="M23">
        <v>0.02</v>
      </c>
      <c r="N23">
        <v>1265</v>
      </c>
      <c r="O23">
        <v>4</v>
      </c>
      <c r="P23">
        <v>0</v>
      </c>
    </row>
    <row r="24" spans="1:16" x14ac:dyDescent="0.25">
      <c r="A24" t="s">
        <v>65</v>
      </c>
      <c r="B24" t="s">
        <v>45</v>
      </c>
      <c r="C24" t="s">
        <v>15</v>
      </c>
      <c r="D24" t="s">
        <v>70</v>
      </c>
      <c r="E24">
        <v>300</v>
      </c>
      <c r="F24">
        <v>20</v>
      </c>
      <c r="G24">
        <v>6</v>
      </c>
      <c r="H24">
        <v>43</v>
      </c>
      <c r="I24">
        <v>1129</v>
      </c>
      <c r="J24">
        <v>1078</v>
      </c>
      <c r="K24">
        <v>0.05</v>
      </c>
      <c r="L24">
        <v>0.01</v>
      </c>
      <c r="M24">
        <v>0.03</v>
      </c>
      <c r="N24">
        <v>1212</v>
      </c>
      <c r="O24">
        <v>5</v>
      </c>
      <c r="P24">
        <v>0.01</v>
      </c>
    </row>
    <row r="25" spans="1:16" x14ac:dyDescent="0.25">
      <c r="A25" t="s">
        <v>65</v>
      </c>
      <c r="B25" t="s">
        <v>45</v>
      </c>
      <c r="C25" t="s">
        <v>15</v>
      </c>
      <c r="D25" t="s">
        <v>71</v>
      </c>
      <c r="E25">
        <v>300</v>
      </c>
      <c r="F25">
        <v>20</v>
      </c>
      <c r="G25">
        <v>11</v>
      </c>
      <c r="H25">
        <v>59</v>
      </c>
      <c r="I25">
        <v>1199</v>
      </c>
      <c r="J25">
        <v>1109</v>
      </c>
      <c r="K25">
        <v>0.05</v>
      </c>
      <c r="L25">
        <v>0.01</v>
      </c>
      <c r="M25">
        <v>0.03</v>
      </c>
      <c r="N25">
        <v>1299</v>
      </c>
      <c r="O25">
        <v>3</v>
      </c>
      <c r="P25">
        <v>0.01</v>
      </c>
    </row>
    <row r="26" spans="1:16" x14ac:dyDescent="0.25">
      <c r="A26" t="s">
        <v>65</v>
      </c>
      <c r="B26" t="s">
        <v>45</v>
      </c>
      <c r="C26" t="s">
        <v>16</v>
      </c>
      <c r="D26" t="s">
        <v>72</v>
      </c>
      <c r="E26">
        <v>300</v>
      </c>
      <c r="F26">
        <v>20</v>
      </c>
      <c r="G26">
        <v>11</v>
      </c>
      <c r="H26">
        <v>52</v>
      </c>
      <c r="I26">
        <v>1321</v>
      </c>
      <c r="J26">
        <v>1186</v>
      </c>
      <c r="K26">
        <v>0.09</v>
      </c>
      <c r="L26">
        <v>0.02</v>
      </c>
      <c r="M26">
        <v>0.02</v>
      </c>
      <c r="N26">
        <v>1571</v>
      </c>
      <c r="O26">
        <v>13</v>
      </c>
      <c r="P26">
        <v>0.01</v>
      </c>
    </row>
    <row r="27" spans="1:16" x14ac:dyDescent="0.25">
      <c r="A27" t="s">
        <v>65</v>
      </c>
      <c r="B27" t="s">
        <v>45</v>
      </c>
      <c r="C27" t="s">
        <v>16</v>
      </c>
      <c r="D27" t="s">
        <v>73</v>
      </c>
      <c r="E27">
        <v>300</v>
      </c>
      <c r="F27">
        <v>20</v>
      </c>
      <c r="G27">
        <v>8</v>
      </c>
      <c r="H27">
        <v>63</v>
      </c>
      <c r="I27">
        <v>1274</v>
      </c>
      <c r="J27">
        <v>1215</v>
      </c>
      <c r="K27">
        <v>0.06</v>
      </c>
      <c r="L27">
        <v>0.02</v>
      </c>
      <c r="M27">
        <v>0.02</v>
      </c>
      <c r="N27">
        <v>1551</v>
      </c>
      <c r="O27">
        <v>10</v>
      </c>
      <c r="P27">
        <v>0.01</v>
      </c>
    </row>
    <row r="28" spans="1:16" x14ac:dyDescent="0.25">
      <c r="A28" t="s">
        <v>65</v>
      </c>
      <c r="B28" t="s">
        <v>45</v>
      </c>
      <c r="C28" t="s">
        <v>16</v>
      </c>
      <c r="D28" t="s">
        <v>74</v>
      </c>
      <c r="E28">
        <v>300</v>
      </c>
      <c r="F28">
        <v>20</v>
      </c>
      <c r="G28">
        <v>8</v>
      </c>
      <c r="H28">
        <v>65</v>
      </c>
      <c r="I28">
        <v>1404</v>
      </c>
      <c r="J28">
        <v>1309</v>
      </c>
      <c r="K28">
        <v>0.05</v>
      </c>
      <c r="L28">
        <v>0.02</v>
      </c>
      <c r="M28">
        <v>0.02</v>
      </c>
      <c r="N28">
        <v>1575</v>
      </c>
      <c r="O28">
        <v>5</v>
      </c>
      <c r="P28">
        <v>0.01</v>
      </c>
    </row>
    <row r="29" spans="1:16" x14ac:dyDescent="0.25">
      <c r="A29" t="s">
        <v>75</v>
      </c>
      <c r="B29" t="s">
        <v>45</v>
      </c>
      <c r="C29" t="s">
        <v>14</v>
      </c>
      <c r="D29" t="s">
        <v>76</v>
      </c>
      <c r="E29">
        <v>300</v>
      </c>
      <c r="F29">
        <v>20</v>
      </c>
      <c r="G29">
        <v>17</v>
      </c>
      <c r="H29">
        <v>50</v>
      </c>
      <c r="I29">
        <v>1253</v>
      </c>
      <c r="J29">
        <v>1144</v>
      </c>
      <c r="K29">
        <v>0.06</v>
      </c>
      <c r="L29">
        <v>0.02</v>
      </c>
      <c r="M29">
        <v>0.04</v>
      </c>
      <c r="N29">
        <v>1269</v>
      </c>
      <c r="O29">
        <v>4</v>
      </c>
      <c r="P29">
        <v>0.01</v>
      </c>
    </row>
    <row r="30" spans="1:16" x14ac:dyDescent="0.25">
      <c r="A30" t="s">
        <v>75</v>
      </c>
      <c r="B30" t="s">
        <v>45</v>
      </c>
      <c r="C30" t="s">
        <v>14</v>
      </c>
      <c r="D30" t="s">
        <v>77</v>
      </c>
      <c r="E30">
        <v>300</v>
      </c>
      <c r="F30">
        <v>20</v>
      </c>
      <c r="G30">
        <v>5</v>
      </c>
      <c r="H30">
        <v>53</v>
      </c>
      <c r="I30">
        <v>1164</v>
      </c>
      <c r="J30">
        <v>1146</v>
      </c>
      <c r="K30">
        <v>0.09</v>
      </c>
      <c r="L30">
        <v>0.02</v>
      </c>
      <c r="M30">
        <v>0.05</v>
      </c>
      <c r="N30">
        <v>1238</v>
      </c>
      <c r="O30">
        <v>6</v>
      </c>
      <c r="P30">
        <v>0.01</v>
      </c>
    </row>
    <row r="31" spans="1:16" x14ac:dyDescent="0.25">
      <c r="A31" t="s">
        <v>75</v>
      </c>
      <c r="B31" t="s">
        <v>45</v>
      </c>
      <c r="C31" t="s">
        <v>14</v>
      </c>
      <c r="D31" t="s">
        <v>78</v>
      </c>
      <c r="E31">
        <v>300</v>
      </c>
      <c r="F31">
        <v>20</v>
      </c>
      <c r="G31">
        <v>17</v>
      </c>
      <c r="H31">
        <v>54</v>
      </c>
      <c r="I31">
        <v>1234</v>
      </c>
      <c r="J31">
        <v>1040</v>
      </c>
      <c r="K31">
        <v>7.0000000000000007E-2</v>
      </c>
      <c r="L31">
        <v>0.02</v>
      </c>
      <c r="M31">
        <v>0.04</v>
      </c>
      <c r="N31">
        <v>1319</v>
      </c>
      <c r="O31">
        <v>8</v>
      </c>
      <c r="P31">
        <v>0.01</v>
      </c>
    </row>
    <row r="32" spans="1:16" x14ac:dyDescent="0.25">
      <c r="A32" t="s">
        <v>75</v>
      </c>
      <c r="B32" t="s">
        <v>45</v>
      </c>
      <c r="C32" t="s">
        <v>15</v>
      </c>
      <c r="D32" t="s">
        <v>79</v>
      </c>
      <c r="E32">
        <v>300</v>
      </c>
      <c r="F32">
        <v>20</v>
      </c>
      <c r="G32">
        <v>15</v>
      </c>
      <c r="H32">
        <v>62</v>
      </c>
      <c r="I32">
        <v>1281</v>
      </c>
      <c r="J32">
        <v>1189</v>
      </c>
      <c r="K32">
        <v>7.0000000000000007E-2</v>
      </c>
      <c r="L32">
        <v>0.02</v>
      </c>
      <c r="M32">
        <v>0.04</v>
      </c>
      <c r="N32">
        <v>1271</v>
      </c>
      <c r="O32">
        <v>5</v>
      </c>
      <c r="P32">
        <v>0.01</v>
      </c>
    </row>
    <row r="33" spans="1:16" x14ac:dyDescent="0.25">
      <c r="A33" t="s">
        <v>75</v>
      </c>
      <c r="B33" t="s">
        <v>45</v>
      </c>
      <c r="C33" t="s">
        <v>15</v>
      </c>
      <c r="D33" t="s">
        <v>80</v>
      </c>
      <c r="E33">
        <v>300</v>
      </c>
      <c r="F33">
        <v>20</v>
      </c>
      <c r="G33">
        <v>8</v>
      </c>
      <c r="H33">
        <v>53</v>
      </c>
      <c r="I33">
        <v>1228</v>
      </c>
      <c r="J33">
        <v>1152</v>
      </c>
      <c r="K33">
        <v>7.0000000000000007E-2</v>
      </c>
      <c r="L33">
        <v>0.02</v>
      </c>
      <c r="M33">
        <v>0.04</v>
      </c>
      <c r="N33">
        <v>1254</v>
      </c>
      <c r="O33">
        <v>5</v>
      </c>
      <c r="P33">
        <v>0.01</v>
      </c>
    </row>
    <row r="34" spans="1:16" x14ac:dyDescent="0.25">
      <c r="A34" t="s">
        <v>75</v>
      </c>
      <c r="B34" t="s">
        <v>45</v>
      </c>
      <c r="C34" t="s">
        <v>15</v>
      </c>
      <c r="D34" t="s">
        <v>81</v>
      </c>
      <c r="E34">
        <v>300</v>
      </c>
      <c r="F34">
        <v>20</v>
      </c>
      <c r="G34">
        <v>17</v>
      </c>
      <c r="H34">
        <v>63</v>
      </c>
      <c r="I34">
        <v>1242</v>
      </c>
      <c r="J34">
        <v>1123</v>
      </c>
      <c r="K34">
        <v>0.1</v>
      </c>
      <c r="L34">
        <v>0.02</v>
      </c>
      <c r="M34">
        <v>0.06</v>
      </c>
      <c r="N34">
        <v>1308</v>
      </c>
      <c r="O34">
        <v>11</v>
      </c>
      <c r="P34">
        <v>0.01</v>
      </c>
    </row>
    <row r="35" spans="1:16" x14ac:dyDescent="0.25">
      <c r="A35" t="s">
        <v>75</v>
      </c>
      <c r="B35" t="s">
        <v>45</v>
      </c>
      <c r="C35" t="s">
        <v>16</v>
      </c>
      <c r="D35" t="s">
        <v>82</v>
      </c>
      <c r="E35">
        <v>300</v>
      </c>
      <c r="F35">
        <v>20</v>
      </c>
      <c r="G35">
        <v>25</v>
      </c>
      <c r="H35">
        <v>59</v>
      </c>
      <c r="I35">
        <v>1479</v>
      </c>
      <c r="K35">
        <v>0.06</v>
      </c>
      <c r="L35">
        <v>0.02</v>
      </c>
      <c r="M35">
        <v>0.03</v>
      </c>
      <c r="N35">
        <v>1469</v>
      </c>
      <c r="O35">
        <v>18</v>
      </c>
      <c r="P35">
        <v>0.01</v>
      </c>
    </row>
    <row r="36" spans="1:16" x14ac:dyDescent="0.25">
      <c r="A36" t="s">
        <v>75</v>
      </c>
      <c r="B36" t="s">
        <v>45</v>
      </c>
      <c r="C36" t="s">
        <v>16</v>
      </c>
      <c r="D36" t="s">
        <v>83</v>
      </c>
      <c r="E36">
        <v>300</v>
      </c>
      <c r="F36">
        <v>20</v>
      </c>
      <c r="G36">
        <v>9</v>
      </c>
      <c r="H36">
        <v>54</v>
      </c>
      <c r="I36">
        <v>1499</v>
      </c>
      <c r="J36">
        <v>1428</v>
      </c>
      <c r="K36">
        <v>7.0000000000000007E-2</v>
      </c>
      <c r="L36">
        <v>0.02</v>
      </c>
      <c r="M36">
        <v>0.03</v>
      </c>
      <c r="N36">
        <v>1581</v>
      </c>
      <c r="O36">
        <v>10</v>
      </c>
      <c r="P36">
        <v>0.01</v>
      </c>
    </row>
    <row r="37" spans="1:16" x14ac:dyDescent="0.25">
      <c r="A37" t="s">
        <v>75</v>
      </c>
      <c r="B37" t="s">
        <v>45</v>
      </c>
      <c r="C37" t="s">
        <v>16</v>
      </c>
      <c r="D37" t="s">
        <v>84</v>
      </c>
      <c r="E37">
        <v>300</v>
      </c>
      <c r="F37">
        <v>20</v>
      </c>
      <c r="G37">
        <v>4</v>
      </c>
      <c r="H37">
        <v>53</v>
      </c>
      <c r="I37">
        <v>1497</v>
      </c>
      <c r="J37">
        <v>1452</v>
      </c>
      <c r="K37">
        <v>0.05</v>
      </c>
      <c r="L37">
        <v>0.02</v>
      </c>
      <c r="M37">
        <v>0.03</v>
      </c>
      <c r="N37">
        <v>1572</v>
      </c>
      <c r="O37">
        <v>5</v>
      </c>
      <c r="P37">
        <v>0.01</v>
      </c>
    </row>
  </sheetData>
  <autoFilter ref="A1:N37" xr:uid="{54EA3AA4-9489-4496-BB71-BD259AC0D42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99A04-ACD4-4F0B-8010-3AD08186522D}">
  <dimension ref="A1:P37"/>
  <sheetViews>
    <sheetView workbookViewId="0">
      <selection sqref="A1:A37"/>
    </sheetView>
  </sheetViews>
  <sheetFormatPr defaultRowHeight="15" x14ac:dyDescent="0.25"/>
  <cols>
    <col min="1" max="1" width="10.7109375" bestFit="1" customWidth="1"/>
    <col min="2" max="2" width="12.140625" bestFit="1" customWidth="1"/>
    <col min="3" max="3" width="15" bestFit="1" customWidth="1"/>
    <col min="4" max="4" width="72.140625" bestFit="1" customWidth="1"/>
    <col min="5" max="5" width="4.42578125" bestFit="1" customWidth="1"/>
    <col min="6" max="6" width="4.28515625" bestFit="1" customWidth="1"/>
    <col min="7" max="7" width="12" bestFit="1" customWidth="1"/>
    <col min="8" max="8" width="11.7109375" bestFit="1" customWidth="1"/>
    <col min="9" max="10" width="13.85546875" bestFit="1" customWidth="1"/>
    <col min="11" max="11" width="13.7109375" bestFit="1" customWidth="1"/>
    <col min="12" max="12" width="9.7109375" bestFit="1" customWidth="1"/>
    <col min="13" max="13" width="15.85546875" bestFit="1" customWidth="1"/>
    <col min="14" max="14" width="12.85546875" bestFit="1" customWidth="1"/>
  </cols>
  <sheetData>
    <row r="1" spans="1:16" s="21" customFormat="1" x14ac:dyDescent="0.25">
      <c r="A1" s="21" t="s">
        <v>28</v>
      </c>
      <c r="B1" s="21" t="s">
        <v>29</v>
      </c>
      <c r="C1" s="21" t="s">
        <v>30</v>
      </c>
      <c r="D1" s="21" t="s">
        <v>31</v>
      </c>
      <c r="E1" s="21" t="s">
        <v>32</v>
      </c>
      <c r="F1" s="21" t="s">
        <v>33</v>
      </c>
      <c r="G1" s="21" t="s">
        <v>34</v>
      </c>
      <c r="H1" s="21" t="s">
        <v>35</v>
      </c>
      <c r="I1" s="21" t="s">
        <v>36</v>
      </c>
      <c r="J1" s="21" t="s">
        <v>37</v>
      </c>
      <c r="K1" s="21" t="s">
        <v>38</v>
      </c>
      <c r="L1" s="21" t="s">
        <v>39</v>
      </c>
      <c r="M1" s="21" t="s">
        <v>40</v>
      </c>
      <c r="N1" s="21" t="s">
        <v>41</v>
      </c>
      <c r="O1" s="21" t="s">
        <v>42</v>
      </c>
      <c r="P1" s="21" t="s">
        <v>43</v>
      </c>
    </row>
    <row r="2" spans="1:16" x14ac:dyDescent="0.25">
      <c r="A2" t="s">
        <v>44</v>
      </c>
      <c r="B2" t="s">
        <v>45</v>
      </c>
      <c r="C2" t="s">
        <v>14</v>
      </c>
      <c r="D2" t="s">
        <v>46</v>
      </c>
      <c r="E2">
        <v>300</v>
      </c>
      <c r="F2">
        <v>20</v>
      </c>
      <c r="G2">
        <v>1</v>
      </c>
      <c r="H2">
        <v>67</v>
      </c>
      <c r="I2">
        <v>462</v>
      </c>
      <c r="J2">
        <v>385</v>
      </c>
      <c r="K2">
        <v>0.06</v>
      </c>
      <c r="L2">
        <v>0.01</v>
      </c>
      <c r="M2">
        <v>0.03</v>
      </c>
      <c r="N2">
        <v>1205</v>
      </c>
      <c r="O2">
        <v>13</v>
      </c>
      <c r="P2">
        <v>0.02</v>
      </c>
    </row>
    <row r="3" spans="1:16" x14ac:dyDescent="0.25">
      <c r="A3" t="s">
        <v>44</v>
      </c>
      <c r="B3" t="s">
        <v>45</v>
      </c>
      <c r="C3" t="s">
        <v>14</v>
      </c>
      <c r="D3" t="s">
        <v>47</v>
      </c>
      <c r="E3">
        <v>300</v>
      </c>
      <c r="F3">
        <v>20</v>
      </c>
      <c r="G3">
        <v>4</v>
      </c>
      <c r="H3">
        <v>52</v>
      </c>
      <c r="I3">
        <v>663</v>
      </c>
      <c r="J3">
        <v>530</v>
      </c>
      <c r="K3">
        <v>0.05</v>
      </c>
      <c r="L3">
        <v>0.02</v>
      </c>
      <c r="M3">
        <v>0.02</v>
      </c>
      <c r="N3">
        <v>1148</v>
      </c>
      <c r="O3">
        <v>9</v>
      </c>
      <c r="P3">
        <v>0.01</v>
      </c>
    </row>
    <row r="4" spans="1:16" x14ac:dyDescent="0.25">
      <c r="A4" t="s">
        <v>44</v>
      </c>
      <c r="B4" t="s">
        <v>45</v>
      </c>
      <c r="C4" t="s">
        <v>14</v>
      </c>
      <c r="D4" t="s">
        <v>48</v>
      </c>
      <c r="E4">
        <v>300</v>
      </c>
      <c r="F4">
        <v>20</v>
      </c>
      <c r="G4">
        <v>1</v>
      </c>
      <c r="H4">
        <v>54</v>
      </c>
      <c r="I4">
        <v>548</v>
      </c>
      <c r="J4">
        <v>401</v>
      </c>
      <c r="K4">
        <v>0.05</v>
      </c>
      <c r="L4">
        <v>0.01</v>
      </c>
      <c r="M4">
        <v>0.03</v>
      </c>
      <c r="N4">
        <v>1212</v>
      </c>
      <c r="O4">
        <v>10</v>
      </c>
      <c r="P4">
        <v>0.02</v>
      </c>
    </row>
    <row r="5" spans="1:16" x14ac:dyDescent="0.25">
      <c r="A5" t="s">
        <v>44</v>
      </c>
      <c r="B5" t="s">
        <v>45</v>
      </c>
      <c r="C5" t="s">
        <v>15</v>
      </c>
      <c r="D5" t="s">
        <v>49</v>
      </c>
      <c r="E5">
        <v>300</v>
      </c>
      <c r="F5">
        <v>20</v>
      </c>
      <c r="G5">
        <v>3</v>
      </c>
      <c r="H5">
        <v>59</v>
      </c>
      <c r="I5">
        <v>551</v>
      </c>
      <c r="J5">
        <v>504</v>
      </c>
      <c r="K5">
        <v>0.05</v>
      </c>
      <c r="L5">
        <v>0.01</v>
      </c>
      <c r="M5">
        <v>0.02</v>
      </c>
      <c r="N5">
        <v>1152</v>
      </c>
      <c r="O5">
        <v>13</v>
      </c>
      <c r="P5">
        <v>0.01</v>
      </c>
    </row>
    <row r="6" spans="1:16" x14ac:dyDescent="0.25">
      <c r="A6" t="s">
        <v>44</v>
      </c>
      <c r="B6" t="s">
        <v>45</v>
      </c>
      <c r="C6" t="s">
        <v>15</v>
      </c>
      <c r="D6" t="s">
        <v>50</v>
      </c>
      <c r="E6">
        <v>300</v>
      </c>
      <c r="F6">
        <v>20</v>
      </c>
      <c r="G6">
        <v>1</v>
      </c>
      <c r="H6">
        <v>65</v>
      </c>
      <c r="I6">
        <v>577</v>
      </c>
      <c r="J6">
        <v>511</v>
      </c>
      <c r="K6">
        <v>0.05</v>
      </c>
      <c r="L6">
        <v>0.01</v>
      </c>
      <c r="M6">
        <v>0.02</v>
      </c>
      <c r="N6">
        <v>1155</v>
      </c>
      <c r="O6">
        <v>13</v>
      </c>
      <c r="P6">
        <v>0.01</v>
      </c>
    </row>
    <row r="7" spans="1:16" x14ac:dyDescent="0.25">
      <c r="A7" t="s">
        <v>44</v>
      </c>
      <c r="B7" t="s">
        <v>45</v>
      </c>
      <c r="C7" t="s">
        <v>15</v>
      </c>
      <c r="D7" t="s">
        <v>51</v>
      </c>
      <c r="E7">
        <v>300</v>
      </c>
      <c r="F7">
        <v>20</v>
      </c>
      <c r="G7">
        <v>1</v>
      </c>
      <c r="H7">
        <v>60</v>
      </c>
      <c r="I7">
        <v>479</v>
      </c>
      <c r="J7">
        <v>408</v>
      </c>
      <c r="K7">
        <v>0.05</v>
      </c>
      <c r="L7">
        <v>0.01</v>
      </c>
      <c r="M7">
        <v>0.03</v>
      </c>
      <c r="N7">
        <v>1182</v>
      </c>
      <c r="O7">
        <v>9</v>
      </c>
      <c r="P7">
        <v>0.01</v>
      </c>
    </row>
    <row r="8" spans="1:16" x14ac:dyDescent="0.25">
      <c r="A8" t="s">
        <v>44</v>
      </c>
      <c r="B8" t="s">
        <v>45</v>
      </c>
      <c r="C8" t="s">
        <v>16</v>
      </c>
      <c r="D8" t="s">
        <v>52</v>
      </c>
      <c r="E8">
        <v>300</v>
      </c>
      <c r="F8">
        <v>20</v>
      </c>
      <c r="G8">
        <v>2</v>
      </c>
      <c r="H8">
        <v>65</v>
      </c>
      <c r="I8">
        <v>391</v>
      </c>
      <c r="J8">
        <v>397</v>
      </c>
      <c r="K8">
        <v>0.05</v>
      </c>
      <c r="L8">
        <v>0.01</v>
      </c>
      <c r="M8">
        <v>0.03</v>
      </c>
      <c r="N8">
        <v>1427</v>
      </c>
      <c r="O8">
        <v>20</v>
      </c>
      <c r="P8">
        <v>0.01</v>
      </c>
    </row>
    <row r="9" spans="1:16" x14ac:dyDescent="0.25">
      <c r="A9" t="s">
        <v>44</v>
      </c>
      <c r="B9" t="s">
        <v>45</v>
      </c>
      <c r="C9" t="s">
        <v>16</v>
      </c>
      <c r="D9" t="s">
        <v>53</v>
      </c>
      <c r="E9">
        <v>300</v>
      </c>
      <c r="F9">
        <v>20</v>
      </c>
      <c r="G9">
        <v>2</v>
      </c>
      <c r="H9">
        <v>59</v>
      </c>
      <c r="I9">
        <v>411</v>
      </c>
      <c r="J9">
        <v>417</v>
      </c>
      <c r="K9">
        <v>0.05</v>
      </c>
      <c r="L9">
        <v>0.01</v>
      </c>
      <c r="M9">
        <v>0.02</v>
      </c>
      <c r="N9">
        <v>1467</v>
      </c>
      <c r="O9">
        <v>20</v>
      </c>
      <c r="P9">
        <v>0.01</v>
      </c>
    </row>
    <row r="10" spans="1:16" x14ac:dyDescent="0.25">
      <c r="A10" t="s">
        <v>44</v>
      </c>
      <c r="B10" t="s">
        <v>45</v>
      </c>
      <c r="C10" t="s">
        <v>16</v>
      </c>
      <c r="D10" t="s">
        <v>54</v>
      </c>
      <c r="E10">
        <v>300</v>
      </c>
      <c r="F10">
        <v>20</v>
      </c>
      <c r="G10">
        <v>3</v>
      </c>
      <c r="H10">
        <v>62</v>
      </c>
      <c r="I10">
        <v>620</v>
      </c>
      <c r="J10">
        <v>653</v>
      </c>
      <c r="K10">
        <v>0.04</v>
      </c>
      <c r="L10">
        <v>0.01</v>
      </c>
      <c r="M10">
        <v>0.03</v>
      </c>
      <c r="N10">
        <v>1434</v>
      </c>
      <c r="O10">
        <v>9</v>
      </c>
      <c r="P10">
        <v>0.01</v>
      </c>
    </row>
    <row r="11" spans="1:16" x14ac:dyDescent="0.25">
      <c r="A11" t="s">
        <v>55</v>
      </c>
      <c r="B11" t="s">
        <v>45</v>
      </c>
      <c r="C11" t="s">
        <v>14</v>
      </c>
      <c r="D11" t="s">
        <v>56</v>
      </c>
      <c r="E11">
        <v>300</v>
      </c>
      <c r="F11">
        <v>20</v>
      </c>
      <c r="G11">
        <v>1</v>
      </c>
      <c r="H11">
        <v>52</v>
      </c>
      <c r="I11">
        <v>294</v>
      </c>
      <c r="J11">
        <v>229</v>
      </c>
      <c r="K11">
        <v>0.04</v>
      </c>
      <c r="L11">
        <v>0</v>
      </c>
      <c r="M11">
        <v>0.02</v>
      </c>
      <c r="N11">
        <v>973</v>
      </c>
      <c r="O11">
        <v>20</v>
      </c>
      <c r="P11">
        <v>0.01</v>
      </c>
    </row>
    <row r="12" spans="1:16" x14ac:dyDescent="0.25">
      <c r="A12" t="s">
        <v>55</v>
      </c>
      <c r="B12" t="s">
        <v>45</v>
      </c>
      <c r="C12" t="s">
        <v>14</v>
      </c>
      <c r="D12" t="s">
        <v>57</v>
      </c>
      <c r="E12">
        <v>300</v>
      </c>
      <c r="F12">
        <v>20</v>
      </c>
      <c r="G12">
        <v>4</v>
      </c>
      <c r="H12">
        <v>64</v>
      </c>
      <c r="I12">
        <v>264</v>
      </c>
      <c r="J12">
        <v>241</v>
      </c>
      <c r="K12">
        <v>0.04</v>
      </c>
      <c r="L12">
        <v>0.01</v>
      </c>
      <c r="M12">
        <v>0.02</v>
      </c>
      <c r="N12">
        <v>965</v>
      </c>
      <c r="O12">
        <v>20</v>
      </c>
      <c r="P12">
        <v>0.01</v>
      </c>
    </row>
    <row r="13" spans="1:16" x14ac:dyDescent="0.25">
      <c r="A13" t="s">
        <v>55</v>
      </c>
      <c r="B13" t="s">
        <v>45</v>
      </c>
      <c r="C13" t="s">
        <v>14</v>
      </c>
      <c r="D13" t="s">
        <v>58</v>
      </c>
      <c r="E13">
        <v>300</v>
      </c>
      <c r="F13">
        <v>20</v>
      </c>
      <c r="G13">
        <v>1</v>
      </c>
      <c r="H13">
        <v>51</v>
      </c>
      <c r="I13">
        <v>306</v>
      </c>
      <c r="J13">
        <v>180</v>
      </c>
      <c r="K13">
        <v>0.05</v>
      </c>
      <c r="L13">
        <v>0</v>
      </c>
      <c r="M13">
        <v>0.03</v>
      </c>
      <c r="N13">
        <v>964</v>
      </c>
      <c r="O13">
        <v>20</v>
      </c>
      <c r="P13">
        <v>0.01</v>
      </c>
    </row>
    <row r="14" spans="1:16" x14ac:dyDescent="0.25">
      <c r="A14" t="s">
        <v>55</v>
      </c>
      <c r="B14" t="s">
        <v>45</v>
      </c>
      <c r="C14" t="s">
        <v>15</v>
      </c>
      <c r="D14" t="s">
        <v>59</v>
      </c>
      <c r="E14">
        <v>300</v>
      </c>
      <c r="F14">
        <v>20</v>
      </c>
      <c r="G14">
        <v>1</v>
      </c>
      <c r="H14">
        <v>50</v>
      </c>
      <c r="I14">
        <v>278</v>
      </c>
      <c r="J14">
        <v>114</v>
      </c>
      <c r="K14">
        <v>0.06</v>
      </c>
      <c r="L14">
        <v>0.01</v>
      </c>
      <c r="M14">
        <v>0.04</v>
      </c>
      <c r="N14">
        <v>905</v>
      </c>
      <c r="O14">
        <v>20</v>
      </c>
      <c r="P14">
        <v>0.01</v>
      </c>
    </row>
    <row r="15" spans="1:16" x14ac:dyDescent="0.25">
      <c r="A15" t="s">
        <v>55</v>
      </c>
      <c r="B15" t="s">
        <v>45</v>
      </c>
      <c r="C15" t="s">
        <v>15</v>
      </c>
      <c r="D15" t="s">
        <v>60</v>
      </c>
      <c r="E15">
        <v>300</v>
      </c>
      <c r="F15">
        <v>20</v>
      </c>
      <c r="G15">
        <v>0</v>
      </c>
      <c r="H15">
        <v>49</v>
      </c>
      <c r="I15">
        <v>292</v>
      </c>
      <c r="J15">
        <v>92</v>
      </c>
      <c r="K15">
        <v>0.08</v>
      </c>
      <c r="L15">
        <v>0.01</v>
      </c>
      <c r="M15">
        <v>0.05</v>
      </c>
      <c r="N15">
        <v>985</v>
      </c>
      <c r="O15">
        <v>20</v>
      </c>
      <c r="P15">
        <v>0.01</v>
      </c>
    </row>
    <row r="16" spans="1:16" x14ac:dyDescent="0.25">
      <c r="A16" t="s">
        <v>55</v>
      </c>
      <c r="B16" t="s">
        <v>45</v>
      </c>
      <c r="C16" t="s">
        <v>15</v>
      </c>
      <c r="D16" t="s">
        <v>61</v>
      </c>
      <c r="E16">
        <v>300</v>
      </c>
      <c r="F16">
        <v>20</v>
      </c>
      <c r="G16">
        <v>6</v>
      </c>
      <c r="H16">
        <v>55</v>
      </c>
      <c r="I16">
        <v>302</v>
      </c>
      <c r="J16">
        <v>324</v>
      </c>
      <c r="K16">
        <v>0.06</v>
      </c>
      <c r="L16">
        <v>0.01</v>
      </c>
      <c r="M16">
        <v>0.03</v>
      </c>
      <c r="N16">
        <v>945</v>
      </c>
      <c r="O16">
        <v>20</v>
      </c>
      <c r="P16">
        <v>0.01</v>
      </c>
    </row>
    <row r="17" spans="1:16" x14ac:dyDescent="0.25">
      <c r="A17" t="s">
        <v>55</v>
      </c>
      <c r="B17" t="s">
        <v>45</v>
      </c>
      <c r="C17" t="s">
        <v>16</v>
      </c>
      <c r="D17" t="s">
        <v>62</v>
      </c>
      <c r="E17">
        <v>300</v>
      </c>
      <c r="F17">
        <v>20</v>
      </c>
      <c r="G17">
        <v>2</v>
      </c>
      <c r="H17">
        <v>47</v>
      </c>
      <c r="I17">
        <v>292</v>
      </c>
      <c r="J17">
        <v>220</v>
      </c>
      <c r="K17">
        <v>0.04</v>
      </c>
      <c r="L17">
        <v>0.01</v>
      </c>
      <c r="M17">
        <v>0.02</v>
      </c>
      <c r="N17">
        <v>1155</v>
      </c>
      <c r="O17">
        <v>20</v>
      </c>
      <c r="P17">
        <v>0.02</v>
      </c>
    </row>
    <row r="18" spans="1:16" x14ac:dyDescent="0.25">
      <c r="A18" t="s">
        <v>55</v>
      </c>
      <c r="B18" t="s">
        <v>45</v>
      </c>
      <c r="C18" t="s">
        <v>16</v>
      </c>
      <c r="D18" t="s">
        <v>63</v>
      </c>
      <c r="E18">
        <v>300</v>
      </c>
      <c r="F18">
        <v>20</v>
      </c>
      <c r="G18">
        <v>2</v>
      </c>
      <c r="H18">
        <v>66</v>
      </c>
      <c r="I18">
        <v>231</v>
      </c>
      <c r="J18">
        <v>225</v>
      </c>
      <c r="K18">
        <v>0.04</v>
      </c>
      <c r="L18">
        <v>0.01</v>
      </c>
      <c r="M18">
        <v>0.02</v>
      </c>
      <c r="N18">
        <v>1083</v>
      </c>
      <c r="O18">
        <v>20</v>
      </c>
      <c r="P18">
        <v>0.01</v>
      </c>
    </row>
    <row r="19" spans="1:16" x14ac:dyDescent="0.25">
      <c r="A19" t="s">
        <v>55</v>
      </c>
      <c r="B19" t="s">
        <v>45</v>
      </c>
      <c r="C19" t="s">
        <v>16</v>
      </c>
      <c r="D19" t="s">
        <v>64</v>
      </c>
      <c r="E19">
        <v>300</v>
      </c>
      <c r="F19">
        <v>20</v>
      </c>
      <c r="G19">
        <v>3</v>
      </c>
      <c r="H19">
        <v>54</v>
      </c>
      <c r="I19">
        <v>253</v>
      </c>
      <c r="J19">
        <v>181</v>
      </c>
      <c r="K19">
        <v>0.05</v>
      </c>
      <c r="L19">
        <v>0.01</v>
      </c>
      <c r="M19">
        <v>0.02</v>
      </c>
      <c r="N19">
        <v>1241</v>
      </c>
      <c r="O19">
        <v>20</v>
      </c>
      <c r="P19">
        <v>0.02</v>
      </c>
    </row>
    <row r="20" spans="1:16" x14ac:dyDescent="0.25">
      <c r="A20" t="s">
        <v>65</v>
      </c>
      <c r="B20" t="s">
        <v>45</v>
      </c>
      <c r="C20" t="s">
        <v>14</v>
      </c>
      <c r="D20" t="s">
        <v>66</v>
      </c>
      <c r="E20">
        <v>300</v>
      </c>
      <c r="F20">
        <v>20</v>
      </c>
      <c r="G20">
        <v>7</v>
      </c>
      <c r="H20">
        <v>47</v>
      </c>
      <c r="I20">
        <v>1235</v>
      </c>
      <c r="J20">
        <v>1038</v>
      </c>
      <c r="K20">
        <v>0.04</v>
      </c>
      <c r="L20">
        <v>0.01</v>
      </c>
      <c r="M20">
        <v>0.02</v>
      </c>
      <c r="N20">
        <v>1333</v>
      </c>
      <c r="O20">
        <v>1</v>
      </c>
      <c r="P20">
        <v>0.02</v>
      </c>
    </row>
    <row r="21" spans="1:16" x14ac:dyDescent="0.25">
      <c r="A21" t="s">
        <v>65</v>
      </c>
      <c r="B21" t="s">
        <v>45</v>
      </c>
      <c r="C21" t="s">
        <v>14</v>
      </c>
      <c r="D21" t="s">
        <v>67</v>
      </c>
      <c r="E21">
        <v>300</v>
      </c>
      <c r="F21">
        <v>20</v>
      </c>
      <c r="G21">
        <v>18</v>
      </c>
      <c r="H21">
        <v>74</v>
      </c>
      <c r="I21">
        <v>1133</v>
      </c>
      <c r="J21">
        <v>930</v>
      </c>
      <c r="K21">
        <v>0.04</v>
      </c>
      <c r="L21">
        <v>0.01</v>
      </c>
      <c r="M21">
        <v>0.01</v>
      </c>
      <c r="N21">
        <v>1193</v>
      </c>
      <c r="O21">
        <v>1</v>
      </c>
      <c r="P21">
        <v>0.01</v>
      </c>
    </row>
    <row r="22" spans="1:16" x14ac:dyDescent="0.25">
      <c r="A22" t="s">
        <v>65</v>
      </c>
      <c r="B22" t="s">
        <v>45</v>
      </c>
      <c r="C22" t="s">
        <v>14</v>
      </c>
      <c r="D22" t="s">
        <v>68</v>
      </c>
      <c r="E22">
        <v>300</v>
      </c>
      <c r="F22">
        <v>20</v>
      </c>
      <c r="G22">
        <v>7</v>
      </c>
      <c r="H22">
        <v>50</v>
      </c>
      <c r="I22">
        <v>1261</v>
      </c>
      <c r="J22">
        <v>996</v>
      </c>
      <c r="K22">
        <v>0.03</v>
      </c>
      <c r="L22">
        <v>0.01</v>
      </c>
      <c r="M22">
        <v>0.01</v>
      </c>
      <c r="N22">
        <v>1360</v>
      </c>
      <c r="O22">
        <v>5</v>
      </c>
      <c r="P22">
        <v>0.01</v>
      </c>
    </row>
    <row r="23" spans="1:16" x14ac:dyDescent="0.25">
      <c r="A23" t="s">
        <v>65</v>
      </c>
      <c r="B23" t="s">
        <v>45</v>
      </c>
      <c r="C23" t="s">
        <v>15</v>
      </c>
      <c r="D23" t="s">
        <v>69</v>
      </c>
      <c r="E23">
        <v>300</v>
      </c>
      <c r="F23">
        <v>20</v>
      </c>
      <c r="G23">
        <v>7</v>
      </c>
      <c r="H23">
        <v>49</v>
      </c>
      <c r="I23">
        <v>1178</v>
      </c>
      <c r="J23">
        <v>920</v>
      </c>
      <c r="K23">
        <v>0.03</v>
      </c>
      <c r="L23">
        <v>0</v>
      </c>
      <c r="M23">
        <v>0.02</v>
      </c>
      <c r="N23">
        <v>1265</v>
      </c>
      <c r="O23">
        <v>4</v>
      </c>
      <c r="P23">
        <v>0</v>
      </c>
    </row>
    <row r="24" spans="1:16" x14ac:dyDescent="0.25">
      <c r="A24" t="s">
        <v>65</v>
      </c>
      <c r="B24" t="s">
        <v>45</v>
      </c>
      <c r="C24" t="s">
        <v>15</v>
      </c>
      <c r="D24" t="s">
        <v>70</v>
      </c>
      <c r="E24">
        <v>300</v>
      </c>
      <c r="F24">
        <v>20</v>
      </c>
      <c r="G24">
        <v>4</v>
      </c>
      <c r="H24">
        <v>43</v>
      </c>
      <c r="I24">
        <v>1129</v>
      </c>
      <c r="J24">
        <v>987</v>
      </c>
      <c r="K24">
        <v>0.03</v>
      </c>
      <c r="L24">
        <v>0.01</v>
      </c>
      <c r="M24">
        <v>0.01</v>
      </c>
      <c r="N24">
        <v>1212</v>
      </c>
      <c r="O24">
        <v>5</v>
      </c>
      <c r="P24">
        <v>0.01</v>
      </c>
    </row>
    <row r="25" spans="1:16" x14ac:dyDescent="0.25">
      <c r="A25" t="s">
        <v>65</v>
      </c>
      <c r="B25" t="s">
        <v>45</v>
      </c>
      <c r="C25" t="s">
        <v>15</v>
      </c>
      <c r="D25" t="s">
        <v>71</v>
      </c>
      <c r="E25">
        <v>300</v>
      </c>
      <c r="F25">
        <v>20</v>
      </c>
      <c r="G25">
        <v>11</v>
      </c>
      <c r="H25">
        <v>59</v>
      </c>
      <c r="I25">
        <v>1199</v>
      </c>
      <c r="J25">
        <v>1036</v>
      </c>
      <c r="K25">
        <v>0.03</v>
      </c>
      <c r="L25">
        <v>0.01</v>
      </c>
      <c r="M25">
        <v>0.01</v>
      </c>
      <c r="N25">
        <v>1299</v>
      </c>
      <c r="O25">
        <v>3</v>
      </c>
      <c r="P25">
        <v>0.01</v>
      </c>
    </row>
    <row r="26" spans="1:16" x14ac:dyDescent="0.25">
      <c r="A26" t="s">
        <v>65</v>
      </c>
      <c r="B26" t="s">
        <v>45</v>
      </c>
      <c r="C26" t="s">
        <v>16</v>
      </c>
      <c r="D26" t="s">
        <v>72</v>
      </c>
      <c r="E26">
        <v>300</v>
      </c>
      <c r="F26">
        <v>20</v>
      </c>
      <c r="G26">
        <v>11</v>
      </c>
      <c r="H26">
        <v>52</v>
      </c>
      <c r="I26">
        <v>1313</v>
      </c>
      <c r="J26">
        <v>1151</v>
      </c>
      <c r="K26">
        <v>0.03</v>
      </c>
      <c r="L26">
        <v>0.01</v>
      </c>
      <c r="M26">
        <v>0.01</v>
      </c>
      <c r="N26">
        <v>1571</v>
      </c>
      <c r="O26">
        <v>13</v>
      </c>
      <c r="P26">
        <v>0</v>
      </c>
    </row>
    <row r="27" spans="1:16" x14ac:dyDescent="0.25">
      <c r="A27" t="s">
        <v>65</v>
      </c>
      <c r="B27" t="s">
        <v>45</v>
      </c>
      <c r="C27" t="s">
        <v>16</v>
      </c>
      <c r="D27" t="s">
        <v>73</v>
      </c>
      <c r="E27">
        <v>300</v>
      </c>
      <c r="F27">
        <v>20</v>
      </c>
      <c r="G27">
        <v>8</v>
      </c>
      <c r="H27">
        <v>63</v>
      </c>
      <c r="I27">
        <v>1273</v>
      </c>
      <c r="J27">
        <v>1018</v>
      </c>
      <c r="K27">
        <v>0.03</v>
      </c>
      <c r="L27">
        <v>0.01</v>
      </c>
      <c r="M27">
        <v>0.01</v>
      </c>
      <c r="N27">
        <v>1551</v>
      </c>
      <c r="O27">
        <v>10</v>
      </c>
      <c r="P27">
        <v>0.01</v>
      </c>
    </row>
    <row r="28" spans="1:16" x14ac:dyDescent="0.25">
      <c r="A28" t="s">
        <v>65</v>
      </c>
      <c r="B28" t="s">
        <v>45</v>
      </c>
      <c r="C28" t="s">
        <v>16</v>
      </c>
      <c r="D28" t="s">
        <v>74</v>
      </c>
      <c r="E28">
        <v>300</v>
      </c>
      <c r="F28">
        <v>20</v>
      </c>
      <c r="G28">
        <v>10</v>
      </c>
      <c r="H28">
        <v>65</v>
      </c>
      <c r="I28">
        <v>1373</v>
      </c>
      <c r="J28">
        <v>1163</v>
      </c>
      <c r="K28">
        <v>0.03</v>
      </c>
      <c r="L28">
        <v>0.01</v>
      </c>
      <c r="M28">
        <v>0.01</v>
      </c>
      <c r="N28">
        <v>1575</v>
      </c>
      <c r="O28">
        <v>5</v>
      </c>
      <c r="P28">
        <v>0.01</v>
      </c>
    </row>
    <row r="29" spans="1:16" x14ac:dyDescent="0.25">
      <c r="A29" t="s">
        <v>75</v>
      </c>
      <c r="B29" t="s">
        <v>45</v>
      </c>
      <c r="C29" t="s">
        <v>14</v>
      </c>
      <c r="D29" t="s">
        <v>76</v>
      </c>
      <c r="E29">
        <v>300</v>
      </c>
      <c r="F29">
        <v>20</v>
      </c>
      <c r="G29">
        <v>16</v>
      </c>
      <c r="H29">
        <v>50</v>
      </c>
      <c r="I29">
        <v>1253</v>
      </c>
      <c r="J29">
        <v>867</v>
      </c>
      <c r="K29">
        <v>0.02</v>
      </c>
      <c r="L29">
        <v>0</v>
      </c>
      <c r="M29">
        <v>0.01</v>
      </c>
      <c r="N29">
        <v>1269</v>
      </c>
      <c r="O29">
        <v>4</v>
      </c>
      <c r="P29">
        <v>0.01</v>
      </c>
    </row>
    <row r="30" spans="1:16" x14ac:dyDescent="0.25">
      <c r="A30" t="s">
        <v>75</v>
      </c>
      <c r="B30" t="s">
        <v>45</v>
      </c>
      <c r="C30" t="s">
        <v>14</v>
      </c>
      <c r="D30" t="s">
        <v>77</v>
      </c>
      <c r="E30">
        <v>300</v>
      </c>
      <c r="F30">
        <v>20</v>
      </c>
      <c r="G30">
        <v>5</v>
      </c>
      <c r="H30">
        <v>53</v>
      </c>
      <c r="I30">
        <v>1164</v>
      </c>
      <c r="J30">
        <v>862</v>
      </c>
      <c r="K30">
        <v>0.02</v>
      </c>
      <c r="L30">
        <v>0.01</v>
      </c>
      <c r="M30">
        <v>0</v>
      </c>
      <c r="N30">
        <v>1238</v>
      </c>
      <c r="O30">
        <v>6</v>
      </c>
      <c r="P30">
        <v>0.01</v>
      </c>
    </row>
    <row r="31" spans="1:16" x14ac:dyDescent="0.25">
      <c r="A31" t="s">
        <v>75</v>
      </c>
      <c r="B31" t="s">
        <v>45</v>
      </c>
      <c r="C31" t="s">
        <v>14</v>
      </c>
      <c r="D31" t="s">
        <v>78</v>
      </c>
      <c r="E31">
        <v>300</v>
      </c>
      <c r="F31">
        <v>20</v>
      </c>
      <c r="G31">
        <v>17</v>
      </c>
      <c r="H31">
        <v>54</v>
      </c>
      <c r="I31">
        <v>1234</v>
      </c>
      <c r="J31">
        <v>813</v>
      </c>
      <c r="K31">
        <v>0.02</v>
      </c>
      <c r="L31">
        <v>0</v>
      </c>
      <c r="M31">
        <v>0.01</v>
      </c>
      <c r="N31">
        <v>1319</v>
      </c>
      <c r="O31">
        <v>8</v>
      </c>
      <c r="P31">
        <v>0.01</v>
      </c>
    </row>
    <row r="32" spans="1:16" x14ac:dyDescent="0.25">
      <c r="A32" t="s">
        <v>75</v>
      </c>
      <c r="B32" t="s">
        <v>45</v>
      </c>
      <c r="C32" t="s">
        <v>15</v>
      </c>
      <c r="D32" t="s">
        <v>79</v>
      </c>
      <c r="E32">
        <v>300</v>
      </c>
      <c r="F32">
        <v>20</v>
      </c>
      <c r="G32">
        <v>12</v>
      </c>
      <c r="H32">
        <v>62</v>
      </c>
      <c r="I32">
        <v>1281</v>
      </c>
      <c r="J32">
        <v>905</v>
      </c>
      <c r="K32">
        <v>0.02</v>
      </c>
      <c r="L32">
        <v>0</v>
      </c>
      <c r="M32">
        <v>0</v>
      </c>
      <c r="N32">
        <v>1271</v>
      </c>
      <c r="O32">
        <v>5</v>
      </c>
      <c r="P32">
        <v>0.01</v>
      </c>
    </row>
    <row r="33" spans="1:16" x14ac:dyDescent="0.25">
      <c r="A33" t="s">
        <v>75</v>
      </c>
      <c r="B33" t="s">
        <v>45</v>
      </c>
      <c r="C33" t="s">
        <v>15</v>
      </c>
      <c r="D33" t="s">
        <v>80</v>
      </c>
      <c r="E33">
        <v>300</v>
      </c>
      <c r="F33">
        <v>20</v>
      </c>
      <c r="G33">
        <v>5</v>
      </c>
      <c r="H33">
        <v>53</v>
      </c>
      <c r="I33">
        <v>1228</v>
      </c>
      <c r="J33">
        <v>977</v>
      </c>
      <c r="K33">
        <v>0.02</v>
      </c>
      <c r="L33">
        <v>0</v>
      </c>
      <c r="M33">
        <v>0.01</v>
      </c>
      <c r="N33">
        <v>1254</v>
      </c>
      <c r="O33">
        <v>5</v>
      </c>
      <c r="P33">
        <v>0.01</v>
      </c>
    </row>
    <row r="34" spans="1:16" x14ac:dyDescent="0.25">
      <c r="A34" t="s">
        <v>75</v>
      </c>
      <c r="B34" t="s">
        <v>45</v>
      </c>
      <c r="C34" t="s">
        <v>15</v>
      </c>
      <c r="D34" t="s">
        <v>81</v>
      </c>
      <c r="E34">
        <v>300</v>
      </c>
      <c r="F34">
        <v>20</v>
      </c>
      <c r="G34">
        <v>14</v>
      </c>
      <c r="H34">
        <v>63</v>
      </c>
      <c r="I34">
        <v>1242</v>
      </c>
      <c r="J34">
        <v>926</v>
      </c>
      <c r="K34">
        <v>0.02</v>
      </c>
      <c r="L34">
        <v>0.01</v>
      </c>
      <c r="M34">
        <v>0.01</v>
      </c>
      <c r="N34">
        <v>1308</v>
      </c>
      <c r="O34">
        <v>11</v>
      </c>
      <c r="P34">
        <v>0.01</v>
      </c>
    </row>
    <row r="35" spans="1:16" x14ac:dyDescent="0.25">
      <c r="A35" t="s">
        <v>75</v>
      </c>
      <c r="B35" t="s">
        <v>45</v>
      </c>
      <c r="C35" t="s">
        <v>16</v>
      </c>
      <c r="D35" t="s">
        <v>82</v>
      </c>
      <c r="E35">
        <v>300</v>
      </c>
      <c r="F35">
        <v>20</v>
      </c>
      <c r="G35">
        <v>25</v>
      </c>
      <c r="H35">
        <v>59</v>
      </c>
      <c r="I35">
        <v>1473</v>
      </c>
      <c r="K35">
        <v>0.02</v>
      </c>
      <c r="L35">
        <v>0.01</v>
      </c>
      <c r="M35">
        <v>0.01</v>
      </c>
      <c r="N35">
        <v>1469</v>
      </c>
      <c r="O35">
        <v>18</v>
      </c>
      <c r="P35">
        <v>0</v>
      </c>
    </row>
    <row r="36" spans="1:16" x14ac:dyDescent="0.25">
      <c r="A36" t="s">
        <v>75</v>
      </c>
      <c r="B36" t="s">
        <v>45</v>
      </c>
      <c r="C36" t="s">
        <v>16</v>
      </c>
      <c r="D36" t="s">
        <v>83</v>
      </c>
      <c r="E36">
        <v>300</v>
      </c>
      <c r="F36">
        <v>20</v>
      </c>
      <c r="G36">
        <v>7</v>
      </c>
      <c r="H36">
        <v>54</v>
      </c>
      <c r="I36">
        <v>1487</v>
      </c>
      <c r="J36">
        <v>1098</v>
      </c>
      <c r="K36">
        <v>0.02</v>
      </c>
      <c r="L36">
        <v>0</v>
      </c>
      <c r="M36">
        <v>0.01</v>
      </c>
      <c r="N36">
        <v>1581</v>
      </c>
      <c r="O36">
        <v>10</v>
      </c>
      <c r="P36">
        <v>0.01</v>
      </c>
    </row>
    <row r="37" spans="1:16" x14ac:dyDescent="0.25">
      <c r="A37" t="s">
        <v>75</v>
      </c>
      <c r="B37" t="s">
        <v>45</v>
      </c>
      <c r="C37" t="s">
        <v>16</v>
      </c>
      <c r="D37" t="s">
        <v>84</v>
      </c>
      <c r="E37">
        <v>300</v>
      </c>
      <c r="F37">
        <v>20</v>
      </c>
      <c r="G37">
        <v>6</v>
      </c>
      <c r="H37">
        <v>53</v>
      </c>
      <c r="I37">
        <v>1482</v>
      </c>
      <c r="J37">
        <v>1026</v>
      </c>
      <c r="K37">
        <v>0.02</v>
      </c>
      <c r="L37">
        <v>0.01</v>
      </c>
      <c r="M37">
        <v>0.01</v>
      </c>
      <c r="N37">
        <v>1572</v>
      </c>
      <c r="O37">
        <v>5</v>
      </c>
      <c r="P37">
        <v>0.01</v>
      </c>
    </row>
  </sheetData>
  <autoFilter ref="A1:N37" xr:uid="{6EF99A04-ACD4-4F0B-8010-3AD08186522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2458-2F12-4B14-9DFA-5EC83D5A9CB3}">
  <dimension ref="A1:P37"/>
  <sheetViews>
    <sheetView workbookViewId="0">
      <selection sqref="A1:A37"/>
    </sheetView>
  </sheetViews>
  <sheetFormatPr defaultRowHeight="15" x14ac:dyDescent="0.25"/>
  <cols>
    <col min="1" max="1" width="10.7109375" bestFit="1" customWidth="1"/>
    <col min="2" max="2" width="12.140625" bestFit="1" customWidth="1"/>
    <col min="3" max="3" width="15" bestFit="1" customWidth="1"/>
    <col min="4" max="4" width="72.140625" bestFit="1" customWidth="1"/>
    <col min="5" max="5" width="4.42578125" bestFit="1" customWidth="1"/>
    <col min="6" max="6" width="4.28515625" bestFit="1" customWidth="1"/>
    <col min="7" max="7" width="12" bestFit="1" customWidth="1"/>
    <col min="8" max="8" width="11.7109375" bestFit="1" customWidth="1"/>
    <col min="9" max="10" width="13.85546875" bestFit="1" customWidth="1"/>
    <col min="11" max="11" width="13.7109375" bestFit="1" customWidth="1"/>
    <col min="12" max="12" width="9.7109375" bestFit="1" customWidth="1"/>
    <col min="13" max="13" width="15.85546875" bestFit="1" customWidth="1"/>
    <col min="14" max="14" width="12.85546875" bestFit="1" customWidth="1"/>
  </cols>
  <sheetData>
    <row r="1" spans="1:16" s="21" customFormat="1" x14ac:dyDescent="0.25">
      <c r="A1" s="21" t="s">
        <v>28</v>
      </c>
      <c r="B1" s="21" t="s">
        <v>29</v>
      </c>
      <c r="C1" s="21" t="s">
        <v>30</v>
      </c>
      <c r="D1" s="21" t="s">
        <v>31</v>
      </c>
      <c r="E1" s="21" t="s">
        <v>32</v>
      </c>
      <c r="F1" s="21" t="s">
        <v>33</v>
      </c>
      <c r="G1" s="21" t="s">
        <v>34</v>
      </c>
      <c r="H1" s="21" t="s">
        <v>35</v>
      </c>
      <c r="I1" s="21" t="s">
        <v>36</v>
      </c>
      <c r="J1" s="21" t="s">
        <v>37</v>
      </c>
      <c r="K1" s="21" t="s">
        <v>38</v>
      </c>
      <c r="L1" s="21" t="s">
        <v>39</v>
      </c>
      <c r="M1" s="21" t="s">
        <v>40</v>
      </c>
      <c r="N1" s="21" t="s">
        <v>41</v>
      </c>
      <c r="O1" s="21" t="s">
        <v>42</v>
      </c>
      <c r="P1" s="21" t="s">
        <v>43</v>
      </c>
    </row>
    <row r="2" spans="1:16" x14ac:dyDescent="0.25">
      <c r="A2" t="s">
        <v>44</v>
      </c>
      <c r="B2" t="s">
        <v>45</v>
      </c>
      <c r="C2" t="s">
        <v>14</v>
      </c>
      <c r="D2" t="s">
        <v>46</v>
      </c>
      <c r="E2">
        <v>300</v>
      </c>
      <c r="F2">
        <v>20</v>
      </c>
      <c r="G2">
        <v>5</v>
      </c>
      <c r="H2">
        <v>67</v>
      </c>
      <c r="I2">
        <v>462</v>
      </c>
      <c r="J2">
        <v>496</v>
      </c>
      <c r="K2">
        <v>0.11</v>
      </c>
      <c r="L2">
        <v>0.01</v>
      </c>
      <c r="M2">
        <v>0.09</v>
      </c>
      <c r="N2">
        <v>1205</v>
      </c>
      <c r="O2">
        <v>13</v>
      </c>
      <c r="P2">
        <v>0.02</v>
      </c>
    </row>
    <row r="3" spans="1:16" x14ac:dyDescent="0.25">
      <c r="A3" t="s">
        <v>44</v>
      </c>
      <c r="B3" t="s">
        <v>45</v>
      </c>
      <c r="C3" t="s">
        <v>14</v>
      </c>
      <c r="D3" t="s">
        <v>47</v>
      </c>
      <c r="E3">
        <v>300</v>
      </c>
      <c r="F3">
        <v>20</v>
      </c>
      <c r="G3">
        <v>9</v>
      </c>
      <c r="H3">
        <v>52</v>
      </c>
      <c r="I3">
        <v>663</v>
      </c>
      <c r="J3">
        <v>664</v>
      </c>
      <c r="K3">
        <v>0.12</v>
      </c>
      <c r="L3">
        <v>0.02</v>
      </c>
      <c r="M3">
        <v>0.09</v>
      </c>
      <c r="N3">
        <v>1148</v>
      </c>
      <c r="O3">
        <v>9</v>
      </c>
      <c r="P3">
        <v>0.01</v>
      </c>
    </row>
    <row r="4" spans="1:16" x14ac:dyDescent="0.25">
      <c r="A4" t="s">
        <v>44</v>
      </c>
      <c r="B4" t="s">
        <v>45</v>
      </c>
      <c r="C4" t="s">
        <v>14</v>
      </c>
      <c r="D4" t="s">
        <v>48</v>
      </c>
      <c r="E4">
        <v>300</v>
      </c>
      <c r="F4">
        <v>20</v>
      </c>
      <c r="G4">
        <v>8</v>
      </c>
      <c r="H4">
        <v>54</v>
      </c>
      <c r="I4">
        <v>548</v>
      </c>
      <c r="J4">
        <v>554</v>
      </c>
      <c r="K4">
        <v>0.14000000000000001</v>
      </c>
      <c r="L4">
        <v>0.01</v>
      </c>
      <c r="M4">
        <v>0.11</v>
      </c>
      <c r="N4">
        <v>1212</v>
      </c>
      <c r="O4">
        <v>10</v>
      </c>
      <c r="P4">
        <v>0.01</v>
      </c>
    </row>
    <row r="5" spans="1:16" x14ac:dyDescent="0.25">
      <c r="A5" t="s">
        <v>44</v>
      </c>
      <c r="B5" t="s">
        <v>45</v>
      </c>
      <c r="C5" t="s">
        <v>15</v>
      </c>
      <c r="D5" t="s">
        <v>49</v>
      </c>
      <c r="E5">
        <v>300</v>
      </c>
      <c r="F5">
        <v>20</v>
      </c>
      <c r="G5">
        <v>7</v>
      </c>
      <c r="H5">
        <v>59</v>
      </c>
      <c r="I5">
        <v>551</v>
      </c>
      <c r="J5">
        <v>584</v>
      </c>
      <c r="K5">
        <v>0.12</v>
      </c>
      <c r="L5">
        <v>0.02</v>
      </c>
      <c r="M5">
        <v>0.09</v>
      </c>
      <c r="N5">
        <v>1152</v>
      </c>
      <c r="O5">
        <v>13</v>
      </c>
      <c r="P5">
        <v>0.01</v>
      </c>
    </row>
    <row r="6" spans="1:16" x14ac:dyDescent="0.25">
      <c r="A6" t="s">
        <v>44</v>
      </c>
      <c r="B6" t="s">
        <v>45</v>
      </c>
      <c r="C6" t="s">
        <v>15</v>
      </c>
      <c r="D6" t="s">
        <v>50</v>
      </c>
      <c r="E6">
        <v>300</v>
      </c>
      <c r="F6">
        <v>20</v>
      </c>
      <c r="G6">
        <v>6</v>
      </c>
      <c r="H6">
        <v>65</v>
      </c>
      <c r="I6">
        <v>577</v>
      </c>
      <c r="J6">
        <v>624</v>
      </c>
      <c r="K6">
        <v>0.14000000000000001</v>
      </c>
      <c r="L6">
        <v>0.02</v>
      </c>
      <c r="M6">
        <v>0.1</v>
      </c>
      <c r="N6">
        <v>1155</v>
      </c>
      <c r="O6">
        <v>13</v>
      </c>
      <c r="P6">
        <v>0.01</v>
      </c>
    </row>
    <row r="7" spans="1:16" x14ac:dyDescent="0.25">
      <c r="A7" t="s">
        <v>44</v>
      </c>
      <c r="B7" t="s">
        <v>45</v>
      </c>
      <c r="C7" t="s">
        <v>15</v>
      </c>
      <c r="D7" t="s">
        <v>51</v>
      </c>
      <c r="E7">
        <v>300</v>
      </c>
      <c r="F7">
        <v>20</v>
      </c>
      <c r="G7">
        <v>7</v>
      </c>
      <c r="H7">
        <v>60</v>
      </c>
      <c r="I7">
        <v>479</v>
      </c>
      <c r="J7">
        <v>513</v>
      </c>
      <c r="K7">
        <v>0.13</v>
      </c>
      <c r="L7">
        <v>0.01</v>
      </c>
      <c r="M7">
        <v>0.1</v>
      </c>
      <c r="N7">
        <v>1182</v>
      </c>
      <c r="O7">
        <v>9</v>
      </c>
      <c r="P7">
        <v>0.01</v>
      </c>
    </row>
    <row r="8" spans="1:16" x14ac:dyDescent="0.25">
      <c r="A8" t="s">
        <v>44</v>
      </c>
      <c r="B8" t="s">
        <v>45</v>
      </c>
      <c r="C8" t="s">
        <v>16</v>
      </c>
      <c r="D8" t="s">
        <v>52</v>
      </c>
      <c r="E8">
        <v>300</v>
      </c>
      <c r="F8">
        <v>20</v>
      </c>
      <c r="G8">
        <v>3</v>
      </c>
      <c r="H8">
        <v>65</v>
      </c>
      <c r="I8">
        <v>391</v>
      </c>
      <c r="J8">
        <v>422</v>
      </c>
      <c r="K8">
        <v>0.12</v>
      </c>
      <c r="L8">
        <v>0.01</v>
      </c>
      <c r="M8">
        <v>0.1</v>
      </c>
      <c r="N8">
        <v>1427</v>
      </c>
      <c r="O8">
        <v>20</v>
      </c>
      <c r="P8">
        <v>0.01</v>
      </c>
    </row>
    <row r="9" spans="1:16" x14ac:dyDescent="0.25">
      <c r="A9" t="s">
        <v>44</v>
      </c>
      <c r="B9" t="s">
        <v>45</v>
      </c>
      <c r="C9" t="s">
        <v>16</v>
      </c>
      <c r="D9" t="s">
        <v>53</v>
      </c>
      <c r="E9">
        <v>300</v>
      </c>
      <c r="F9">
        <v>20</v>
      </c>
      <c r="G9">
        <v>3</v>
      </c>
      <c r="H9">
        <v>59</v>
      </c>
      <c r="I9">
        <v>411</v>
      </c>
      <c r="J9">
        <v>437</v>
      </c>
      <c r="K9">
        <v>0.12</v>
      </c>
      <c r="L9">
        <v>0.01</v>
      </c>
      <c r="M9">
        <v>0.1</v>
      </c>
      <c r="N9">
        <v>1467</v>
      </c>
      <c r="O9">
        <v>20</v>
      </c>
      <c r="P9">
        <v>0.01</v>
      </c>
    </row>
    <row r="10" spans="1:16" x14ac:dyDescent="0.25">
      <c r="A10" t="s">
        <v>44</v>
      </c>
      <c r="B10" t="s">
        <v>45</v>
      </c>
      <c r="C10" t="s">
        <v>16</v>
      </c>
      <c r="D10" t="s">
        <v>54</v>
      </c>
      <c r="E10">
        <v>300</v>
      </c>
      <c r="F10">
        <v>20</v>
      </c>
      <c r="G10">
        <v>3</v>
      </c>
      <c r="H10">
        <v>62</v>
      </c>
      <c r="I10">
        <v>620</v>
      </c>
      <c r="J10">
        <v>653</v>
      </c>
      <c r="K10">
        <v>0.11</v>
      </c>
      <c r="L10">
        <v>0.01</v>
      </c>
      <c r="M10">
        <v>0.08</v>
      </c>
      <c r="N10">
        <v>1434</v>
      </c>
      <c r="O10">
        <v>9</v>
      </c>
      <c r="P10">
        <v>0.01</v>
      </c>
    </row>
    <row r="11" spans="1:16" x14ac:dyDescent="0.25">
      <c r="A11" t="s">
        <v>55</v>
      </c>
      <c r="B11" t="s">
        <v>45</v>
      </c>
      <c r="C11" t="s">
        <v>14</v>
      </c>
      <c r="D11" t="s">
        <v>56</v>
      </c>
      <c r="E11">
        <v>300</v>
      </c>
      <c r="F11">
        <v>20</v>
      </c>
      <c r="G11">
        <v>5</v>
      </c>
      <c r="H11">
        <v>52</v>
      </c>
      <c r="I11">
        <v>294</v>
      </c>
      <c r="J11">
        <v>312</v>
      </c>
      <c r="K11">
        <v>0.26</v>
      </c>
      <c r="L11">
        <v>0.01</v>
      </c>
      <c r="M11">
        <v>0.23</v>
      </c>
      <c r="N11">
        <v>973</v>
      </c>
      <c r="O11">
        <v>20</v>
      </c>
      <c r="P11">
        <v>0.01</v>
      </c>
    </row>
    <row r="12" spans="1:16" x14ac:dyDescent="0.25">
      <c r="A12" t="s">
        <v>55</v>
      </c>
      <c r="B12" t="s">
        <v>45</v>
      </c>
      <c r="C12" t="s">
        <v>14</v>
      </c>
      <c r="D12" t="s">
        <v>57</v>
      </c>
      <c r="E12">
        <v>300</v>
      </c>
      <c r="F12">
        <v>20</v>
      </c>
      <c r="G12">
        <v>7</v>
      </c>
      <c r="H12">
        <v>64</v>
      </c>
      <c r="I12">
        <v>264</v>
      </c>
      <c r="J12">
        <v>295</v>
      </c>
      <c r="K12">
        <v>0.28999999999999998</v>
      </c>
      <c r="L12">
        <v>0.01</v>
      </c>
      <c r="M12">
        <v>0.26</v>
      </c>
      <c r="N12">
        <v>965</v>
      </c>
      <c r="O12">
        <v>20</v>
      </c>
      <c r="P12">
        <v>0.01</v>
      </c>
    </row>
    <row r="13" spans="1:16" x14ac:dyDescent="0.25">
      <c r="A13" t="s">
        <v>55</v>
      </c>
      <c r="B13" t="s">
        <v>45</v>
      </c>
      <c r="C13" t="s">
        <v>14</v>
      </c>
      <c r="D13" t="s">
        <v>58</v>
      </c>
      <c r="E13">
        <v>300</v>
      </c>
      <c r="F13">
        <v>20</v>
      </c>
      <c r="G13">
        <v>7</v>
      </c>
      <c r="H13">
        <v>51</v>
      </c>
      <c r="I13">
        <v>306</v>
      </c>
      <c r="J13">
        <v>319</v>
      </c>
      <c r="K13">
        <v>0.25</v>
      </c>
      <c r="L13">
        <v>0.02</v>
      </c>
      <c r="M13">
        <v>0.22</v>
      </c>
      <c r="N13">
        <v>964</v>
      </c>
      <c r="O13">
        <v>20</v>
      </c>
      <c r="P13">
        <v>0.01</v>
      </c>
    </row>
    <row r="14" spans="1:16" x14ac:dyDescent="0.25">
      <c r="A14" t="s">
        <v>55</v>
      </c>
      <c r="B14" t="s">
        <v>45</v>
      </c>
      <c r="C14" t="s">
        <v>15</v>
      </c>
      <c r="D14" t="s">
        <v>59</v>
      </c>
      <c r="E14">
        <v>300</v>
      </c>
      <c r="F14">
        <v>20</v>
      </c>
      <c r="G14">
        <v>8</v>
      </c>
      <c r="H14">
        <v>50</v>
      </c>
      <c r="I14">
        <v>278</v>
      </c>
      <c r="J14">
        <v>292</v>
      </c>
      <c r="K14">
        <v>0.26</v>
      </c>
      <c r="L14">
        <v>0.01</v>
      </c>
      <c r="M14">
        <v>0.24</v>
      </c>
      <c r="N14">
        <v>905</v>
      </c>
      <c r="O14">
        <v>20</v>
      </c>
      <c r="P14">
        <v>0.01</v>
      </c>
    </row>
    <row r="15" spans="1:16" x14ac:dyDescent="0.25">
      <c r="A15" t="s">
        <v>55</v>
      </c>
      <c r="B15" t="s">
        <v>45</v>
      </c>
      <c r="C15" t="s">
        <v>15</v>
      </c>
      <c r="D15" t="s">
        <v>60</v>
      </c>
      <c r="E15">
        <v>300</v>
      </c>
      <c r="F15">
        <v>20</v>
      </c>
      <c r="G15">
        <v>8</v>
      </c>
      <c r="H15">
        <v>49</v>
      </c>
      <c r="I15">
        <v>292</v>
      </c>
      <c r="J15">
        <v>304</v>
      </c>
      <c r="K15">
        <v>0.23</v>
      </c>
      <c r="L15">
        <v>0.01</v>
      </c>
      <c r="M15">
        <v>0.21</v>
      </c>
      <c r="N15">
        <v>985</v>
      </c>
      <c r="O15">
        <v>20</v>
      </c>
      <c r="P15">
        <v>0.01</v>
      </c>
    </row>
    <row r="16" spans="1:16" x14ac:dyDescent="0.25">
      <c r="A16" t="s">
        <v>55</v>
      </c>
      <c r="B16" t="s">
        <v>45</v>
      </c>
      <c r="C16" t="s">
        <v>15</v>
      </c>
      <c r="D16" t="s">
        <v>61</v>
      </c>
      <c r="E16">
        <v>300</v>
      </c>
      <c r="F16">
        <v>20</v>
      </c>
      <c r="G16">
        <v>8</v>
      </c>
      <c r="H16">
        <v>55</v>
      </c>
      <c r="I16">
        <v>302</v>
      </c>
      <c r="J16">
        <v>350</v>
      </c>
      <c r="K16">
        <v>0.24</v>
      </c>
      <c r="L16">
        <v>0.01</v>
      </c>
      <c r="M16">
        <v>0.22</v>
      </c>
      <c r="N16">
        <v>945</v>
      </c>
      <c r="O16">
        <v>20</v>
      </c>
      <c r="P16">
        <v>0.01</v>
      </c>
    </row>
    <row r="17" spans="1:16" x14ac:dyDescent="0.25">
      <c r="A17" t="s">
        <v>55</v>
      </c>
      <c r="B17" t="s">
        <v>45</v>
      </c>
      <c r="C17" t="s">
        <v>16</v>
      </c>
      <c r="D17" t="s">
        <v>62</v>
      </c>
      <c r="E17">
        <v>300</v>
      </c>
      <c r="F17">
        <v>20</v>
      </c>
      <c r="G17">
        <v>6</v>
      </c>
      <c r="H17">
        <v>47</v>
      </c>
      <c r="I17">
        <v>292</v>
      </c>
      <c r="J17">
        <v>305</v>
      </c>
      <c r="K17">
        <v>0.24</v>
      </c>
      <c r="L17">
        <v>0.01</v>
      </c>
      <c r="M17">
        <v>0.23</v>
      </c>
      <c r="N17">
        <v>1155</v>
      </c>
      <c r="O17">
        <v>20</v>
      </c>
      <c r="P17">
        <v>0.02</v>
      </c>
    </row>
    <row r="18" spans="1:16" x14ac:dyDescent="0.25">
      <c r="A18" t="s">
        <v>55</v>
      </c>
      <c r="B18" t="s">
        <v>45</v>
      </c>
      <c r="C18" t="s">
        <v>16</v>
      </c>
      <c r="D18" t="s">
        <v>63</v>
      </c>
      <c r="E18">
        <v>300</v>
      </c>
      <c r="F18">
        <v>20</v>
      </c>
      <c r="G18">
        <v>4</v>
      </c>
      <c r="H18">
        <v>66</v>
      </c>
      <c r="I18">
        <v>231</v>
      </c>
      <c r="J18">
        <v>262</v>
      </c>
      <c r="K18">
        <v>0.22</v>
      </c>
      <c r="L18">
        <v>0.01</v>
      </c>
      <c r="M18">
        <v>0.2</v>
      </c>
      <c r="N18">
        <v>1083</v>
      </c>
      <c r="O18">
        <v>20</v>
      </c>
      <c r="P18">
        <v>0.01</v>
      </c>
    </row>
    <row r="19" spans="1:16" x14ac:dyDescent="0.25">
      <c r="A19" t="s">
        <v>55</v>
      </c>
      <c r="B19" t="s">
        <v>45</v>
      </c>
      <c r="C19" t="s">
        <v>16</v>
      </c>
      <c r="D19" t="s">
        <v>64</v>
      </c>
      <c r="E19">
        <v>300</v>
      </c>
      <c r="F19">
        <v>20</v>
      </c>
      <c r="G19">
        <v>7</v>
      </c>
      <c r="H19">
        <v>54</v>
      </c>
      <c r="I19">
        <v>253</v>
      </c>
      <c r="J19">
        <v>265</v>
      </c>
      <c r="K19">
        <v>0.25</v>
      </c>
      <c r="L19">
        <v>0.02</v>
      </c>
      <c r="M19">
        <v>0.22</v>
      </c>
      <c r="N19">
        <v>1241</v>
      </c>
      <c r="O19">
        <v>20</v>
      </c>
      <c r="P19">
        <v>0.01</v>
      </c>
    </row>
    <row r="20" spans="1:16" x14ac:dyDescent="0.25">
      <c r="A20" t="s">
        <v>65</v>
      </c>
      <c r="B20" t="s">
        <v>45</v>
      </c>
      <c r="C20" t="s">
        <v>14</v>
      </c>
      <c r="D20" t="s">
        <v>66</v>
      </c>
      <c r="E20">
        <v>300</v>
      </c>
      <c r="F20">
        <v>20</v>
      </c>
      <c r="G20">
        <v>8</v>
      </c>
      <c r="H20">
        <v>47</v>
      </c>
      <c r="I20">
        <v>1235</v>
      </c>
      <c r="J20">
        <v>1169</v>
      </c>
      <c r="K20">
        <v>0.04</v>
      </c>
      <c r="L20">
        <v>0.01</v>
      </c>
      <c r="M20">
        <v>0.02</v>
      </c>
      <c r="N20">
        <v>1333</v>
      </c>
      <c r="O20">
        <v>1</v>
      </c>
      <c r="P20">
        <v>0.01</v>
      </c>
    </row>
    <row r="21" spans="1:16" x14ac:dyDescent="0.25">
      <c r="A21" t="s">
        <v>65</v>
      </c>
      <c r="B21" t="s">
        <v>45</v>
      </c>
      <c r="C21" t="s">
        <v>14</v>
      </c>
      <c r="D21" t="s">
        <v>67</v>
      </c>
      <c r="E21">
        <v>300</v>
      </c>
      <c r="F21">
        <v>20</v>
      </c>
      <c r="G21">
        <v>18</v>
      </c>
      <c r="H21">
        <v>74</v>
      </c>
      <c r="I21">
        <v>1133</v>
      </c>
      <c r="J21">
        <v>961</v>
      </c>
      <c r="K21">
        <v>0.04</v>
      </c>
      <c r="L21">
        <v>0.02</v>
      </c>
      <c r="M21">
        <v>0.01</v>
      </c>
      <c r="N21">
        <v>1193</v>
      </c>
      <c r="O21">
        <v>1</v>
      </c>
      <c r="P21">
        <v>0.01</v>
      </c>
    </row>
    <row r="22" spans="1:16" x14ac:dyDescent="0.25">
      <c r="A22" t="s">
        <v>65</v>
      </c>
      <c r="B22" t="s">
        <v>45</v>
      </c>
      <c r="C22" t="s">
        <v>14</v>
      </c>
      <c r="D22" t="s">
        <v>68</v>
      </c>
      <c r="E22">
        <v>300</v>
      </c>
      <c r="F22">
        <v>20</v>
      </c>
      <c r="G22">
        <v>8</v>
      </c>
      <c r="H22">
        <v>50</v>
      </c>
      <c r="I22">
        <v>1261</v>
      </c>
      <c r="J22">
        <v>1202</v>
      </c>
      <c r="K22">
        <v>0.05</v>
      </c>
      <c r="L22">
        <v>0.02</v>
      </c>
      <c r="M22">
        <v>0.02</v>
      </c>
      <c r="N22">
        <v>1360</v>
      </c>
      <c r="O22">
        <v>5</v>
      </c>
      <c r="P22">
        <v>0.01</v>
      </c>
    </row>
    <row r="23" spans="1:16" x14ac:dyDescent="0.25">
      <c r="A23" t="s">
        <v>65</v>
      </c>
      <c r="B23" t="s">
        <v>45</v>
      </c>
      <c r="C23" t="s">
        <v>15</v>
      </c>
      <c r="D23" t="s">
        <v>69</v>
      </c>
      <c r="E23">
        <v>300</v>
      </c>
      <c r="F23">
        <v>20</v>
      </c>
      <c r="G23">
        <v>9</v>
      </c>
      <c r="H23">
        <v>49</v>
      </c>
      <c r="I23">
        <v>1178</v>
      </c>
      <c r="J23">
        <v>1095</v>
      </c>
      <c r="K23">
        <v>0.04</v>
      </c>
      <c r="L23">
        <v>0.02</v>
      </c>
      <c r="M23">
        <v>0.02</v>
      </c>
      <c r="N23">
        <v>1265</v>
      </c>
      <c r="O23">
        <v>4</v>
      </c>
      <c r="P23">
        <v>0.01</v>
      </c>
    </row>
    <row r="24" spans="1:16" x14ac:dyDescent="0.25">
      <c r="A24" t="s">
        <v>65</v>
      </c>
      <c r="B24" t="s">
        <v>45</v>
      </c>
      <c r="C24" t="s">
        <v>15</v>
      </c>
      <c r="D24" t="s">
        <v>70</v>
      </c>
      <c r="E24">
        <v>300</v>
      </c>
      <c r="F24">
        <v>20</v>
      </c>
      <c r="G24">
        <v>6</v>
      </c>
      <c r="H24">
        <v>43</v>
      </c>
      <c r="I24">
        <v>1129</v>
      </c>
      <c r="J24">
        <v>1078</v>
      </c>
      <c r="K24">
        <v>0.04</v>
      </c>
      <c r="L24">
        <v>0.01</v>
      </c>
      <c r="M24">
        <v>0.02</v>
      </c>
      <c r="N24">
        <v>1212</v>
      </c>
      <c r="O24">
        <v>5</v>
      </c>
      <c r="P24">
        <v>0.01</v>
      </c>
    </row>
    <row r="25" spans="1:16" x14ac:dyDescent="0.25">
      <c r="A25" t="s">
        <v>65</v>
      </c>
      <c r="B25" t="s">
        <v>45</v>
      </c>
      <c r="C25" t="s">
        <v>15</v>
      </c>
      <c r="D25" t="s">
        <v>71</v>
      </c>
      <c r="E25">
        <v>300</v>
      </c>
      <c r="F25">
        <v>20</v>
      </c>
      <c r="G25">
        <v>11</v>
      </c>
      <c r="H25">
        <v>59</v>
      </c>
      <c r="I25">
        <v>1199</v>
      </c>
      <c r="J25">
        <v>1109</v>
      </c>
      <c r="K25">
        <v>0.05</v>
      </c>
      <c r="L25">
        <v>0.02</v>
      </c>
      <c r="M25">
        <v>0.03</v>
      </c>
      <c r="N25">
        <v>1299</v>
      </c>
      <c r="O25">
        <v>3</v>
      </c>
      <c r="P25">
        <v>0.01</v>
      </c>
    </row>
    <row r="26" spans="1:16" x14ac:dyDescent="0.25">
      <c r="A26" t="s">
        <v>65</v>
      </c>
      <c r="B26" t="s">
        <v>45</v>
      </c>
      <c r="C26" t="s">
        <v>16</v>
      </c>
      <c r="D26" t="s">
        <v>72</v>
      </c>
      <c r="E26">
        <v>300</v>
      </c>
      <c r="F26">
        <v>20</v>
      </c>
      <c r="G26">
        <v>11</v>
      </c>
      <c r="H26">
        <v>52</v>
      </c>
      <c r="I26">
        <v>1313</v>
      </c>
      <c r="J26">
        <v>1178</v>
      </c>
      <c r="K26">
        <v>0.04</v>
      </c>
      <c r="L26">
        <v>0.01</v>
      </c>
      <c r="M26">
        <v>0.02</v>
      </c>
      <c r="N26">
        <v>1571</v>
      </c>
      <c r="O26">
        <v>13</v>
      </c>
      <c r="P26">
        <v>0.01</v>
      </c>
    </row>
    <row r="27" spans="1:16" x14ac:dyDescent="0.25">
      <c r="A27" t="s">
        <v>65</v>
      </c>
      <c r="B27" t="s">
        <v>45</v>
      </c>
      <c r="C27" t="s">
        <v>16</v>
      </c>
      <c r="D27" t="s">
        <v>73</v>
      </c>
      <c r="E27">
        <v>300</v>
      </c>
      <c r="F27">
        <v>20</v>
      </c>
      <c r="G27">
        <v>8</v>
      </c>
      <c r="H27">
        <v>63</v>
      </c>
      <c r="I27">
        <v>1273</v>
      </c>
      <c r="J27">
        <v>1214</v>
      </c>
      <c r="K27">
        <v>0.04</v>
      </c>
      <c r="L27">
        <v>0.01</v>
      </c>
      <c r="M27">
        <v>0.03</v>
      </c>
      <c r="N27">
        <v>1551</v>
      </c>
      <c r="O27">
        <v>10</v>
      </c>
      <c r="P27">
        <v>0.01</v>
      </c>
    </row>
    <row r="28" spans="1:16" x14ac:dyDescent="0.25">
      <c r="A28" t="s">
        <v>65</v>
      </c>
      <c r="B28" t="s">
        <v>45</v>
      </c>
      <c r="C28" t="s">
        <v>16</v>
      </c>
      <c r="D28" t="s">
        <v>74</v>
      </c>
      <c r="E28">
        <v>300</v>
      </c>
      <c r="F28">
        <v>20</v>
      </c>
      <c r="G28">
        <v>10</v>
      </c>
      <c r="H28">
        <v>65</v>
      </c>
      <c r="I28">
        <v>1373</v>
      </c>
      <c r="J28">
        <v>1261</v>
      </c>
      <c r="K28">
        <v>0.04</v>
      </c>
      <c r="L28">
        <v>0.02</v>
      </c>
      <c r="M28">
        <v>0.02</v>
      </c>
      <c r="N28">
        <v>1575</v>
      </c>
      <c r="O28">
        <v>5</v>
      </c>
      <c r="P28">
        <v>0.01</v>
      </c>
    </row>
    <row r="29" spans="1:16" x14ac:dyDescent="0.25">
      <c r="A29" t="s">
        <v>75</v>
      </c>
      <c r="B29" t="s">
        <v>45</v>
      </c>
      <c r="C29" t="s">
        <v>14</v>
      </c>
      <c r="D29" t="s">
        <v>76</v>
      </c>
      <c r="E29">
        <v>300</v>
      </c>
      <c r="F29">
        <v>20</v>
      </c>
      <c r="G29">
        <v>17</v>
      </c>
      <c r="H29">
        <v>50</v>
      </c>
      <c r="I29">
        <v>1253</v>
      </c>
      <c r="J29">
        <v>1144</v>
      </c>
      <c r="K29">
        <v>0.03</v>
      </c>
      <c r="L29">
        <v>0.01</v>
      </c>
      <c r="M29">
        <v>0.01</v>
      </c>
      <c r="N29">
        <v>1269</v>
      </c>
      <c r="O29">
        <v>4</v>
      </c>
      <c r="P29">
        <v>0.01</v>
      </c>
    </row>
    <row r="30" spans="1:16" x14ac:dyDescent="0.25">
      <c r="A30" t="s">
        <v>75</v>
      </c>
      <c r="B30" t="s">
        <v>45</v>
      </c>
      <c r="C30" t="s">
        <v>14</v>
      </c>
      <c r="D30" t="s">
        <v>77</v>
      </c>
      <c r="E30">
        <v>300</v>
      </c>
      <c r="F30">
        <v>20</v>
      </c>
      <c r="G30">
        <v>5</v>
      </c>
      <c r="H30">
        <v>53</v>
      </c>
      <c r="I30">
        <v>1164</v>
      </c>
      <c r="J30">
        <v>1146</v>
      </c>
      <c r="K30">
        <v>0.04</v>
      </c>
      <c r="L30">
        <v>0.01</v>
      </c>
      <c r="M30">
        <v>0.02</v>
      </c>
      <c r="N30">
        <v>1238</v>
      </c>
      <c r="O30">
        <v>6</v>
      </c>
      <c r="P30">
        <v>0.01</v>
      </c>
    </row>
    <row r="31" spans="1:16" x14ac:dyDescent="0.25">
      <c r="A31" t="s">
        <v>75</v>
      </c>
      <c r="B31" t="s">
        <v>45</v>
      </c>
      <c r="C31" t="s">
        <v>14</v>
      </c>
      <c r="D31" t="s">
        <v>78</v>
      </c>
      <c r="E31">
        <v>300</v>
      </c>
      <c r="F31">
        <v>20</v>
      </c>
      <c r="G31">
        <v>17</v>
      </c>
      <c r="H31">
        <v>54</v>
      </c>
      <c r="I31">
        <v>1234</v>
      </c>
      <c r="J31">
        <v>1040</v>
      </c>
      <c r="K31">
        <v>0.03</v>
      </c>
      <c r="L31">
        <v>0.01</v>
      </c>
      <c r="M31">
        <v>0.02</v>
      </c>
      <c r="N31">
        <v>1319</v>
      </c>
      <c r="O31">
        <v>8</v>
      </c>
      <c r="P31">
        <v>0.01</v>
      </c>
    </row>
    <row r="32" spans="1:16" x14ac:dyDescent="0.25">
      <c r="A32" t="s">
        <v>75</v>
      </c>
      <c r="B32" t="s">
        <v>45</v>
      </c>
      <c r="C32" t="s">
        <v>15</v>
      </c>
      <c r="D32" t="s">
        <v>79</v>
      </c>
      <c r="E32">
        <v>300</v>
      </c>
      <c r="F32">
        <v>20</v>
      </c>
      <c r="G32">
        <v>15</v>
      </c>
      <c r="H32">
        <v>62</v>
      </c>
      <c r="I32">
        <v>1281</v>
      </c>
      <c r="J32">
        <v>1189</v>
      </c>
      <c r="K32">
        <v>0.03</v>
      </c>
      <c r="L32">
        <v>0.01</v>
      </c>
      <c r="M32">
        <v>0.02</v>
      </c>
      <c r="N32">
        <v>1271</v>
      </c>
      <c r="O32">
        <v>5</v>
      </c>
      <c r="P32">
        <v>0</v>
      </c>
    </row>
    <row r="33" spans="1:16" x14ac:dyDescent="0.25">
      <c r="A33" t="s">
        <v>75</v>
      </c>
      <c r="B33" t="s">
        <v>45</v>
      </c>
      <c r="C33" t="s">
        <v>15</v>
      </c>
      <c r="D33" t="s">
        <v>80</v>
      </c>
      <c r="E33">
        <v>300</v>
      </c>
      <c r="F33">
        <v>20</v>
      </c>
      <c r="G33">
        <v>8</v>
      </c>
      <c r="H33">
        <v>53</v>
      </c>
      <c r="I33">
        <v>1228</v>
      </c>
      <c r="J33">
        <v>1152</v>
      </c>
      <c r="K33">
        <v>0.03</v>
      </c>
      <c r="L33">
        <v>0.01</v>
      </c>
      <c r="M33">
        <v>0.02</v>
      </c>
      <c r="N33">
        <v>1254</v>
      </c>
      <c r="O33">
        <v>5</v>
      </c>
      <c r="P33">
        <v>0.01</v>
      </c>
    </row>
    <row r="34" spans="1:16" x14ac:dyDescent="0.25">
      <c r="A34" t="s">
        <v>75</v>
      </c>
      <c r="B34" t="s">
        <v>45</v>
      </c>
      <c r="C34" t="s">
        <v>15</v>
      </c>
      <c r="D34" t="s">
        <v>81</v>
      </c>
      <c r="E34">
        <v>300</v>
      </c>
      <c r="F34">
        <v>20</v>
      </c>
      <c r="G34">
        <v>17</v>
      </c>
      <c r="H34">
        <v>63</v>
      </c>
      <c r="I34">
        <v>1242</v>
      </c>
      <c r="J34">
        <v>1123</v>
      </c>
      <c r="K34">
        <v>0.04</v>
      </c>
      <c r="L34">
        <v>0.01</v>
      </c>
      <c r="M34">
        <v>0.02</v>
      </c>
      <c r="N34">
        <v>1308</v>
      </c>
      <c r="O34">
        <v>11</v>
      </c>
      <c r="P34">
        <v>0.01</v>
      </c>
    </row>
    <row r="35" spans="1:16" x14ac:dyDescent="0.25">
      <c r="A35" t="s">
        <v>75</v>
      </c>
      <c r="B35" t="s">
        <v>45</v>
      </c>
      <c r="C35" t="s">
        <v>16</v>
      </c>
      <c r="D35" t="s">
        <v>82</v>
      </c>
      <c r="E35">
        <v>300</v>
      </c>
      <c r="F35">
        <v>20</v>
      </c>
      <c r="G35">
        <v>25</v>
      </c>
      <c r="H35">
        <v>59</v>
      </c>
      <c r="I35">
        <v>1473</v>
      </c>
      <c r="K35">
        <v>0.03</v>
      </c>
      <c r="L35">
        <v>0.01</v>
      </c>
      <c r="M35">
        <v>0.02</v>
      </c>
      <c r="N35">
        <v>1469</v>
      </c>
      <c r="O35">
        <v>18</v>
      </c>
      <c r="P35">
        <v>0</v>
      </c>
    </row>
    <row r="36" spans="1:16" x14ac:dyDescent="0.25">
      <c r="A36" t="s">
        <v>75</v>
      </c>
      <c r="B36" t="s">
        <v>45</v>
      </c>
      <c r="C36" t="s">
        <v>16</v>
      </c>
      <c r="D36" t="s">
        <v>83</v>
      </c>
      <c r="E36">
        <v>300</v>
      </c>
      <c r="F36">
        <v>20</v>
      </c>
      <c r="G36">
        <v>11</v>
      </c>
      <c r="H36">
        <v>54</v>
      </c>
      <c r="I36">
        <v>1487</v>
      </c>
      <c r="J36">
        <v>1390</v>
      </c>
      <c r="K36">
        <v>0.04</v>
      </c>
      <c r="L36">
        <v>0</v>
      </c>
      <c r="M36">
        <v>0.02</v>
      </c>
      <c r="N36">
        <v>1581</v>
      </c>
      <c r="O36">
        <v>10</v>
      </c>
      <c r="P36">
        <v>0.01</v>
      </c>
    </row>
    <row r="37" spans="1:16" x14ac:dyDescent="0.25">
      <c r="A37" t="s">
        <v>75</v>
      </c>
      <c r="B37" t="s">
        <v>45</v>
      </c>
      <c r="C37" t="s">
        <v>16</v>
      </c>
      <c r="D37" t="s">
        <v>84</v>
      </c>
      <c r="E37">
        <v>300</v>
      </c>
      <c r="F37">
        <v>20</v>
      </c>
      <c r="G37">
        <v>6</v>
      </c>
      <c r="H37">
        <v>53</v>
      </c>
      <c r="I37">
        <v>1482</v>
      </c>
      <c r="J37">
        <v>1429</v>
      </c>
      <c r="K37">
        <v>0.03</v>
      </c>
      <c r="L37">
        <v>0.01</v>
      </c>
      <c r="M37">
        <v>0.02</v>
      </c>
      <c r="N37">
        <v>1572</v>
      </c>
      <c r="O37">
        <v>5</v>
      </c>
      <c r="P37">
        <v>0.01</v>
      </c>
    </row>
  </sheetData>
  <autoFilter ref="A1:N37" xr:uid="{93F82458-2F12-4B14-9DFA-5EC83D5A9CB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I7" sqref="I7:K14"/>
    </sheetView>
  </sheetViews>
  <sheetFormatPr defaultRowHeight="15" x14ac:dyDescent="0.25"/>
  <cols>
    <col min="1" max="2" width="21" customWidth="1"/>
    <col min="3" max="12" width="18.140625" customWidth="1"/>
  </cols>
  <sheetData>
    <row r="1" spans="1:12" ht="18.75" x14ac:dyDescent="0.3">
      <c r="A1" s="1" t="s">
        <v>0</v>
      </c>
    </row>
    <row r="2" spans="1:12" x14ac:dyDescent="0.25">
      <c r="A2" s="2" t="s">
        <v>1</v>
      </c>
    </row>
    <row r="4" spans="1:12" ht="15.75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5">
      <c r="A5" s="5"/>
      <c r="B5" s="5"/>
      <c r="C5" s="6" t="s">
        <v>3</v>
      </c>
      <c r="D5" s="7"/>
      <c r="E5" s="7"/>
      <c r="F5" s="6" t="s">
        <v>4</v>
      </c>
      <c r="G5" s="7"/>
      <c r="H5" s="7"/>
      <c r="I5" s="6" t="s">
        <v>5</v>
      </c>
      <c r="J5" s="7"/>
      <c r="K5" s="7"/>
      <c r="L5" s="6" t="s">
        <v>6</v>
      </c>
    </row>
    <row r="6" spans="1:12" x14ac:dyDescent="0.25">
      <c r="A6" s="5" t="s">
        <v>7</v>
      </c>
      <c r="B6" s="5" t="s">
        <v>8</v>
      </c>
      <c r="C6" s="6" t="s">
        <v>9</v>
      </c>
      <c r="D6" s="6" t="s">
        <v>10</v>
      </c>
      <c r="E6" s="6" t="s">
        <v>11</v>
      </c>
      <c r="F6" s="6" t="s">
        <v>9</v>
      </c>
      <c r="G6" s="6" t="s">
        <v>10</v>
      </c>
      <c r="H6" s="6" t="s">
        <v>11</v>
      </c>
      <c r="I6" s="6" t="s">
        <v>9</v>
      </c>
      <c r="J6" s="6" t="s">
        <v>10</v>
      </c>
      <c r="K6" s="6" t="s">
        <v>11</v>
      </c>
      <c r="L6" s="6" t="s">
        <v>12</v>
      </c>
    </row>
    <row r="7" spans="1:12" x14ac:dyDescent="0.25">
      <c r="A7" s="8" t="s">
        <v>13</v>
      </c>
      <c r="B7" s="8" t="s">
        <v>14</v>
      </c>
      <c r="C7" s="9">
        <f>AVERAGEIFS(heur_norm_A!K2:K37,heur_norm_A!A2:A37,A7,heur_norm_A!C2:C37,B7)</f>
        <v>0.06</v>
      </c>
      <c r="D7" s="9">
        <f>AVERAGEIFS(heur_norm_A!L2:L37,heur_norm_A!A2:A37,A7,heur_norm_A!C2:C37,B7)</f>
        <v>2.3333333333333334E-2</v>
      </c>
      <c r="E7" s="9">
        <f>AVERAGEIFS(heur_norm_A!M2:M37,heur_norm_A!A2:A37,A7,heur_norm_A!C2:C37,B7)</f>
        <v>0.03</v>
      </c>
      <c r="F7" s="10">
        <f>AVERAGEIFS(heur_A_greedy!K2:K37,heur_A_greedy!A2:A37,A7,heur_A_greedy!C2:C37,B7)</f>
        <v>3.6666666666666667E-2</v>
      </c>
      <c r="G7" s="10">
        <f>AVERAGEIFS(heur_A_greedy!L2:L37,heur_A_greedy!A2:A37,A7,heur_A_greedy!C2:C37,B7)</f>
        <v>0.01</v>
      </c>
      <c r="H7" s="10">
        <f>AVERAGEIFS(heur_A_greedy!M2:M37,heur_A_greedy!A2:A37,A7,heur_A_greedy!C2:C37,B7)</f>
        <v>1.3333333333333334E-2</v>
      </c>
      <c r="I7" s="10">
        <f>AVERAGEIFS(heur_A_dp!K2:K37,heur_A_dp!A2:A37,A7,heur_A_dp!C2:C37,B7)</f>
        <v>4.3333333333333335E-2</v>
      </c>
      <c r="J7" s="10">
        <f>AVERAGEIFS(heur_A_dp!L2:L37,heur_A_dp!A2:A37,A7,heur_A_dp!C2:C37,B7)</f>
        <v>1.6666666666666666E-2</v>
      </c>
      <c r="K7" s="10">
        <f>AVERAGEIFS(heur_A_dp!M2:M37,heur_A_dp!A2:A37,A7,heur_A_dp!C2:C37,B7)</f>
        <v>1.6666666666666666E-2</v>
      </c>
      <c r="L7" s="10">
        <f>AVERAGEIFS(heur_norm_A!P2:P37,heur_norm_A!A2:A37,A7,heur_norm_A!C2:C37,B7)</f>
        <v>1.3333333333333334E-2</v>
      </c>
    </row>
    <row r="8" spans="1:12" x14ac:dyDescent="0.25">
      <c r="A8" s="8" t="s">
        <v>13</v>
      </c>
      <c r="B8" s="8" t="s">
        <v>15</v>
      </c>
      <c r="C8" s="9">
        <f>AVERAGEIFS(heur_norm_A!K2:K37,heur_norm_A!A2:A37,A8,heur_norm_A!C2:C37,B8)</f>
        <v>5.3333333333333337E-2</v>
      </c>
      <c r="D8" s="9">
        <f>AVERAGEIFS(heur_norm_A!L2:L37,heur_norm_A!A2:A37,A8,heur_norm_A!C2:C37,B8)</f>
        <v>1.6666666666666666E-2</v>
      </c>
      <c r="E8" s="9">
        <f>AVERAGEIFS(heur_norm_A!M2:M37,heur_norm_A!A2:A37,A8,heur_norm_A!C2:C37,B8)</f>
        <v>2.6666666666666668E-2</v>
      </c>
      <c r="F8" s="10">
        <f>AVERAGEIFS(heur_A_greedy!K2:K37,heur_A_greedy!A2:A37,A8,heur_A_greedy!C2:C37,B8)</f>
        <v>0.03</v>
      </c>
      <c r="G8" s="10">
        <f>AVERAGEIFS(heur_A_greedy!L2:L37,heur_A_greedy!A2:A37,A8,heur_A_greedy!C2:C37,B8)</f>
        <v>6.6666666666666671E-3</v>
      </c>
      <c r="H8" s="10">
        <f>AVERAGEIFS(heur_A_greedy!M2:M37,heur_A_greedy!A2:A37,A8,heur_A_greedy!C2:C37,B8)</f>
        <v>1.3333333333333334E-2</v>
      </c>
      <c r="I8" s="10">
        <f>AVERAGEIFS(heur_A_dp!K2:K37,heur_A_dp!A2:A37,A8,heur_A_dp!C2:C37,B8)</f>
        <v>4.3333333333333335E-2</v>
      </c>
      <c r="J8" s="10">
        <f>AVERAGEIFS(heur_A_dp!L2:L37,heur_A_dp!A2:A37,A8,heur_A_dp!C2:C37,B8)</f>
        <v>1.6666666666666666E-2</v>
      </c>
      <c r="K8" s="10">
        <f>AVERAGEIFS(heur_A_dp!M2:M37,heur_A_dp!A2:A37,A8,heur_A_dp!C2:C37,B8)</f>
        <v>2.3333333333333334E-2</v>
      </c>
      <c r="L8" s="10">
        <f>AVERAGEIFS(heur_norm_A!P2:P37,heur_norm_A!A2:A37,A8,heur_norm_A!C2:C37,B8)</f>
        <v>6.6666666666666671E-3</v>
      </c>
    </row>
    <row r="9" spans="1:12" x14ac:dyDescent="0.25">
      <c r="A9" s="8" t="s">
        <v>13</v>
      </c>
      <c r="B9" s="8" t="s">
        <v>16</v>
      </c>
      <c r="C9" s="9">
        <f>AVERAGEIFS(heur_norm_A!K2:K37,heur_norm_A!A2:A37,A9,heur_norm_A!C2:C37,B9)</f>
        <v>6.6666666666666666E-2</v>
      </c>
      <c r="D9" s="9">
        <f>AVERAGEIFS(heur_norm_A!L2:L37,heur_norm_A!A2:A37,A9,heur_norm_A!C2:C37,B9)</f>
        <v>0.02</v>
      </c>
      <c r="E9" s="9">
        <f>AVERAGEIFS(heur_norm_A!M2:M37,heur_norm_A!A2:A37,A9,heur_norm_A!C2:C37,B9)</f>
        <v>0.02</v>
      </c>
      <c r="F9" s="10">
        <f>AVERAGEIFS(heur_A_greedy!K2:K37,heur_A_greedy!A2:A37,A9,heur_A_greedy!C2:C37,B9)</f>
        <v>0.03</v>
      </c>
      <c r="G9" s="10">
        <f>AVERAGEIFS(heur_A_greedy!L2:L37,heur_A_greedy!A2:A37,A9,heur_A_greedy!C2:C37,B9)</f>
        <v>0.01</v>
      </c>
      <c r="H9" s="10">
        <f>AVERAGEIFS(heur_A_greedy!M2:M37,heur_A_greedy!A2:A37,A9,heur_A_greedy!C2:C37,B9)</f>
        <v>0.01</v>
      </c>
      <c r="I9" s="10">
        <f>AVERAGEIFS(heur_A_dp!K2:K37,heur_A_dp!A2:A37,A9,heur_A_dp!C2:C37,B9)</f>
        <v>0.04</v>
      </c>
      <c r="J9" s="10">
        <f>AVERAGEIFS(heur_A_dp!L2:L37,heur_A_dp!A2:A37,A9,heur_A_dp!C2:C37,B9)</f>
        <v>1.3333333333333334E-2</v>
      </c>
      <c r="K9" s="10">
        <f>AVERAGEIFS(heur_A_dp!M2:M37,heur_A_dp!A2:A37,A9,heur_A_dp!C2:C37,B9)</f>
        <v>2.3333333333333334E-2</v>
      </c>
      <c r="L9" s="10">
        <f>AVERAGEIFS(heur_norm_A!P2:P37,heur_norm_A!A2:A37,A9,heur_norm_A!C2:C37,B9)</f>
        <v>0.01</v>
      </c>
    </row>
    <row r="10" spans="1:12" x14ac:dyDescent="0.25">
      <c r="A10" s="8" t="s">
        <v>17</v>
      </c>
      <c r="B10" s="8" t="s">
        <v>14</v>
      </c>
      <c r="C10" s="9">
        <f>AVERAGEIFS(heur_norm_A!K2:K37,heur_norm_A!A2:A37,A10,heur_norm_A!C2:C37,B10)</f>
        <v>7.3333333333333334E-2</v>
      </c>
      <c r="D10" s="9">
        <f>AVERAGEIFS(heur_norm_A!L2:L37,heur_norm_A!A2:A37,A10,heur_norm_A!C2:C37,B10)</f>
        <v>0.02</v>
      </c>
      <c r="E10" s="9">
        <f>AVERAGEIFS(heur_norm_A!M2:M37,heur_norm_A!A2:A37,A10,heur_norm_A!C2:C37,B10)</f>
        <v>4.3333333333333335E-2</v>
      </c>
      <c r="F10" s="10">
        <f>AVERAGEIFS(heur_A_greedy!K2:K37,heur_A_greedy!A2:A37,A10,heur_A_greedy!C2:C37,B10)</f>
        <v>0.02</v>
      </c>
      <c r="G10" s="10">
        <f>AVERAGEIFS(heur_A_greedy!L2:L37,heur_A_greedy!A2:A37,A10,heur_A_greedy!C2:C37,B10)</f>
        <v>3.3333333333333335E-3</v>
      </c>
      <c r="H10" s="10">
        <f>AVERAGEIFS(heur_A_greedy!M2:M37,heur_A_greedy!A2:A37,A10,heur_A_greedy!C2:C37,B10)</f>
        <v>6.6666666666666671E-3</v>
      </c>
      <c r="I10" s="10">
        <f>AVERAGEIFS(heur_A_dp!K2:K37,heur_A_dp!A2:A37,A10,heur_A_dp!C2:C37,B10)</f>
        <v>3.3333333333333333E-2</v>
      </c>
      <c r="J10" s="10">
        <f>AVERAGEIFS(heur_A_dp!L2:L37,heur_A_dp!A2:A37,A10,heur_A_dp!C2:C37,B10)</f>
        <v>0.01</v>
      </c>
      <c r="K10" s="10">
        <f>AVERAGEIFS(heur_A_dp!M2:M37,heur_A_dp!A2:A37,A10,heur_A_dp!C2:C37,B10)</f>
        <v>1.6666666666666666E-2</v>
      </c>
      <c r="L10" s="10">
        <f>AVERAGEIFS(heur_norm_A!P2:P37,heur_norm_A!A2:A37,A10,heur_norm_A!C2:C37,B10)</f>
        <v>0.01</v>
      </c>
    </row>
    <row r="11" spans="1:12" x14ac:dyDescent="0.25">
      <c r="A11" s="8" t="s">
        <v>17</v>
      </c>
      <c r="B11" s="8" t="s">
        <v>15</v>
      </c>
      <c r="C11" s="9">
        <f>AVERAGEIFS(heur_norm_A!K2:K37,heur_norm_A!A2:A37,A11,heur_norm_A!C2:C37,B11)</f>
        <v>0.08</v>
      </c>
      <c r="D11" s="9">
        <f>AVERAGEIFS(heur_norm_A!L2:L37,heur_norm_A!A2:A37,A11,heur_norm_A!C2:C37,B11)</f>
        <v>0.02</v>
      </c>
      <c r="E11" s="9">
        <f>AVERAGEIFS(heur_norm_A!M2:M37,heur_norm_A!A2:A37,A11,heur_norm_A!C2:C37,B11)</f>
        <v>4.6666666666666669E-2</v>
      </c>
      <c r="F11" s="10">
        <f>AVERAGEIFS(heur_A_greedy!K2:K37,heur_A_greedy!A2:A37,A11,heur_A_greedy!C2:C37,B11)</f>
        <v>0.02</v>
      </c>
      <c r="G11" s="10">
        <f>AVERAGEIFS(heur_A_greedy!L2:L37,heur_A_greedy!A2:A37,A11,heur_A_greedy!C2:C37,B11)</f>
        <v>3.3333333333333335E-3</v>
      </c>
      <c r="H11" s="10">
        <f>AVERAGEIFS(heur_A_greedy!M2:M37,heur_A_greedy!A2:A37,A11,heur_A_greedy!C2:C37,B11)</f>
        <v>6.6666666666666671E-3</v>
      </c>
      <c r="I11" s="10">
        <f>AVERAGEIFS(heur_A_dp!K2:K37,heur_A_dp!A2:A37,A11,heur_A_dp!C2:C37,B11)</f>
        <v>3.3333333333333333E-2</v>
      </c>
      <c r="J11" s="10">
        <f>AVERAGEIFS(heur_A_dp!L2:L37,heur_A_dp!A2:A37,A11,heur_A_dp!C2:C37,B11)</f>
        <v>0.01</v>
      </c>
      <c r="K11" s="10">
        <f>AVERAGEIFS(heur_A_dp!M2:M37,heur_A_dp!A2:A37,A11,heur_A_dp!C2:C37,B11)</f>
        <v>0.02</v>
      </c>
      <c r="L11" s="10">
        <f>AVERAGEIFS(heur_norm_A!P2:P37,heur_norm_A!A2:A37,A11,heur_norm_A!C2:C37,B11)</f>
        <v>0.01</v>
      </c>
    </row>
    <row r="12" spans="1:12" x14ac:dyDescent="0.25">
      <c r="A12" s="8" t="s">
        <v>17</v>
      </c>
      <c r="B12" s="8" t="s">
        <v>16</v>
      </c>
      <c r="C12" s="9">
        <f>AVERAGEIFS(heur_norm_A!K2:K37,heur_norm_A!A2:A37,A12,heur_norm_A!C2:C37,B12)</f>
        <v>0.06</v>
      </c>
      <c r="D12" s="9">
        <f>AVERAGEIFS(heur_norm_A!L2:L37,heur_norm_A!A2:A37,A12,heur_norm_A!C2:C37,B12)</f>
        <v>0.02</v>
      </c>
      <c r="E12" s="9">
        <f>AVERAGEIFS(heur_norm_A!M2:M37,heur_norm_A!A2:A37,A12,heur_norm_A!C2:C37,B12)</f>
        <v>0.03</v>
      </c>
      <c r="F12" s="10">
        <f>AVERAGEIFS(heur_A_greedy!K2:K37,heur_A_greedy!A2:A37,A12,heur_A_greedy!C2:C37,B12)</f>
        <v>0.02</v>
      </c>
      <c r="G12" s="10">
        <f>AVERAGEIFS(heur_A_greedy!L2:L37,heur_A_greedy!A2:A37,A12,heur_A_greedy!C2:C37,B12)</f>
        <v>6.6666666666666671E-3</v>
      </c>
      <c r="H12" s="10">
        <f>AVERAGEIFS(heur_A_greedy!M2:M37,heur_A_greedy!A2:A37,A12,heur_A_greedy!C2:C37,B12)</f>
        <v>0.01</v>
      </c>
      <c r="I12" s="10">
        <f>AVERAGEIFS(heur_A_dp!K2:K37,heur_A_dp!A2:A37,A12,heur_A_dp!C2:C37,B12)</f>
        <v>3.3333333333333333E-2</v>
      </c>
      <c r="J12" s="10">
        <f>AVERAGEIFS(heur_A_dp!L2:L37,heur_A_dp!A2:A37,A12,heur_A_dp!C2:C37,B12)</f>
        <v>6.6666666666666671E-3</v>
      </c>
      <c r="K12" s="10">
        <f>AVERAGEIFS(heur_A_dp!M2:M37,heur_A_dp!A2:A37,A12,heur_A_dp!C2:C37,B12)</f>
        <v>0.02</v>
      </c>
      <c r="L12" s="10">
        <f>AVERAGEIFS(heur_norm_A!P2:P37,heur_norm_A!A2:A37,A12,heur_norm_A!C2:C37,B12)</f>
        <v>0.01</v>
      </c>
    </row>
    <row r="13" spans="1:12" x14ac:dyDescent="0.25">
      <c r="A13" s="11" t="s">
        <v>18</v>
      </c>
      <c r="B13" s="12"/>
      <c r="C13" s="13">
        <f>AVERAGE(C7:C9)</f>
        <v>0.06</v>
      </c>
      <c r="D13" s="13">
        <f>AVERAGE(D7:D9)</f>
        <v>0.02</v>
      </c>
      <c r="E13" s="13">
        <f>AVERAGE(E7:E9)</f>
        <v>2.5555555555555557E-2</v>
      </c>
      <c r="F13" s="14">
        <f>AVERAGE(F7:F9)</f>
        <v>3.2222222222222222E-2</v>
      </c>
      <c r="G13" s="14">
        <f>AVERAGE(G7:G9)</f>
        <v>8.8888888888888889E-3</v>
      </c>
      <c r="H13" s="14">
        <f>AVERAGE(H7:H9)</f>
        <v>1.2222222222222223E-2</v>
      </c>
      <c r="I13" s="14">
        <f>AVERAGE(I7:I9)</f>
        <v>4.2222222222222223E-2</v>
      </c>
      <c r="J13" s="14">
        <f>AVERAGE(J7:J9)</f>
        <v>1.5555555555555557E-2</v>
      </c>
      <c r="K13" s="14">
        <f>AVERAGE(K7:K9)</f>
        <v>2.1111111111111112E-2</v>
      </c>
      <c r="L13" s="14">
        <f>AVERAGE(L7:L9)</f>
        <v>0.01</v>
      </c>
    </row>
    <row r="14" spans="1:12" x14ac:dyDescent="0.25">
      <c r="A14" s="11" t="s">
        <v>19</v>
      </c>
      <c r="B14" s="12"/>
      <c r="C14" s="13">
        <f>AVERAGE(C10:C12)</f>
        <v>7.1111111111111111E-2</v>
      </c>
      <c r="D14" s="13">
        <f>AVERAGE(D10:D12)</f>
        <v>0.02</v>
      </c>
      <c r="E14" s="13">
        <f>AVERAGE(E10:E12)</f>
        <v>0.04</v>
      </c>
      <c r="F14" s="14">
        <f>AVERAGE(F10:F12)</f>
        <v>0.02</v>
      </c>
      <c r="G14" s="14">
        <f>AVERAGE(G10:G12)</f>
        <v>4.4444444444444444E-3</v>
      </c>
      <c r="H14" s="14">
        <f>AVERAGE(H10:H12)</f>
        <v>7.7777777777777784E-3</v>
      </c>
      <c r="I14" s="14">
        <f>AVERAGE(I10:I12)</f>
        <v>3.3333333333333333E-2</v>
      </c>
      <c r="J14" s="14">
        <f>AVERAGE(J10:J12)</f>
        <v>8.8888888888888889E-3</v>
      </c>
      <c r="K14" s="14">
        <f>AVERAGE(K10:K12)</f>
        <v>1.8888888888888889E-2</v>
      </c>
      <c r="L14" s="14">
        <f>AVERAGE(L10:L12)</f>
        <v>0.01</v>
      </c>
    </row>
    <row r="16" spans="1:12" ht="15.75" x14ac:dyDescent="0.25">
      <c r="A16" s="15" t="s">
        <v>20</v>
      </c>
      <c r="B16" s="16"/>
      <c r="C16" s="16"/>
      <c r="D16" s="16"/>
      <c r="E16" s="16"/>
      <c r="F16" s="16"/>
      <c r="G16" s="16"/>
      <c r="H16" s="16"/>
      <c r="I16" s="16"/>
    </row>
    <row r="17" spans="1:9" x14ac:dyDescent="0.25">
      <c r="A17" s="5"/>
      <c r="B17" s="5"/>
      <c r="C17" s="6" t="s">
        <v>6</v>
      </c>
      <c r="D17" s="6" t="s">
        <v>3</v>
      </c>
      <c r="E17" s="7"/>
      <c r="F17" s="6" t="s">
        <v>4</v>
      </c>
      <c r="G17" s="7"/>
      <c r="H17" s="6" t="s">
        <v>5</v>
      </c>
      <c r="I17" s="7"/>
    </row>
    <row r="18" spans="1:9" x14ac:dyDescent="0.25">
      <c r="A18" s="5" t="s">
        <v>7</v>
      </c>
      <c r="B18" s="5" t="s">
        <v>8</v>
      </c>
      <c r="C18" s="6" t="s">
        <v>21</v>
      </c>
      <c r="D18" s="6" t="s">
        <v>22</v>
      </c>
      <c r="E18" s="6" t="s">
        <v>23</v>
      </c>
      <c r="F18" s="6" t="s">
        <v>22</v>
      </c>
      <c r="G18" s="6" t="s">
        <v>23</v>
      </c>
      <c r="H18" s="6" t="s">
        <v>22</v>
      </c>
      <c r="I18" s="6" t="s">
        <v>23</v>
      </c>
    </row>
    <row r="19" spans="1:9" x14ac:dyDescent="0.25">
      <c r="A19" s="8" t="s">
        <v>13</v>
      </c>
      <c r="B19" s="8" t="s">
        <v>14</v>
      </c>
      <c r="C19" s="17">
        <f>AVERAGEIFS(heur_norm_A!N2:N37,heur_norm_A!A2:A37,A19,heur_norm_A!C2:C37,B19)</f>
        <v>1295.3333333333333</v>
      </c>
      <c r="D19" s="17">
        <f>AVERAGEIFS(heur_norm_A!J2:J37,heur_norm_A!A2:A37,A19,heur_norm_A!C2:C37,B19)</f>
        <v>1110.6666666666667</v>
      </c>
      <c r="E19" s="18">
        <f>($C19-D19)/$C19</f>
        <v>0.14256304683479146</v>
      </c>
      <c r="F19" s="17">
        <f>AVERAGEIFS(heur_A_greedy!J2:J37,heur_A_greedy!A2:A37,A19,heur_A_greedy!C2:C37,B19)</f>
        <v>988</v>
      </c>
      <c r="G19" s="18">
        <f>($C19-F19)/$C19</f>
        <v>0.23726196603190938</v>
      </c>
      <c r="H19" s="17">
        <f>AVERAGEIFS(heur_A_dp!J2:J37,heur_A_dp!A2:A37,A19,heur_A_dp!C2:C37,B19)</f>
        <v>1110.6666666666667</v>
      </c>
      <c r="I19" s="18">
        <f>($C19-H19)/$C19</f>
        <v>0.14256304683479146</v>
      </c>
    </row>
    <row r="20" spans="1:9" x14ac:dyDescent="0.25">
      <c r="A20" s="8" t="s">
        <v>13</v>
      </c>
      <c r="B20" s="8" t="s">
        <v>15</v>
      </c>
      <c r="C20" s="17">
        <f>AVERAGEIFS(heur_norm_A!N2:N37,heur_norm_A!A2:A37,A20,heur_norm_A!C2:C37,B20)</f>
        <v>1258.6666666666667</v>
      </c>
      <c r="D20" s="17">
        <f>AVERAGEIFS(heur_norm_A!J2:J37,heur_norm_A!A2:A37,A20,heur_norm_A!C2:C37,B20)</f>
        <v>1094</v>
      </c>
      <c r="E20" s="18">
        <f>($C20-D20)/$C20</f>
        <v>0.13082627118644072</v>
      </c>
      <c r="F20" s="17">
        <f>AVERAGEIFS(heur_A_greedy!J2:J37,heur_A_greedy!A2:A37,A20,heur_A_greedy!C2:C37,B20)</f>
        <v>981</v>
      </c>
      <c r="G20" s="18">
        <f>($C20-F20)/$C20</f>
        <v>0.22060381355932207</v>
      </c>
      <c r="H20" s="17">
        <f>AVERAGEIFS(heur_A_dp!J2:J37,heur_A_dp!A2:A37,A20,heur_A_dp!C2:C37,B20)</f>
        <v>1094</v>
      </c>
      <c r="I20" s="18">
        <f>($C20-H20)/$C20</f>
        <v>0.13082627118644072</v>
      </c>
    </row>
    <row r="21" spans="1:9" x14ac:dyDescent="0.25">
      <c r="A21" s="8" t="s">
        <v>13</v>
      </c>
      <c r="B21" s="8" t="s">
        <v>16</v>
      </c>
      <c r="C21" s="17">
        <f>AVERAGEIFS(heur_norm_A!N2:N37,heur_norm_A!A2:A37,A21,heur_norm_A!C2:C37,B21)</f>
        <v>1565.6666666666667</v>
      </c>
      <c r="D21" s="17">
        <f>AVERAGEIFS(heur_norm_A!J2:J37,heur_norm_A!A2:A37,A21,heur_norm_A!C2:C37,B21)</f>
        <v>1236.6666666666667</v>
      </c>
      <c r="E21" s="18">
        <f>($C21-D21)/$C21</f>
        <v>0.21013412816691504</v>
      </c>
      <c r="F21" s="17">
        <f>AVERAGEIFS(heur_A_greedy!J2:J37,heur_A_greedy!A2:A37,A21,heur_A_greedy!C2:C37,B21)</f>
        <v>1110.6666666666667</v>
      </c>
      <c r="G21" s="18">
        <f>($C21-F21)/$C21</f>
        <v>0.29061102831594632</v>
      </c>
      <c r="H21" s="17">
        <f>AVERAGEIFS(heur_A_dp!J2:J37,heur_A_dp!A2:A37,A21,heur_A_dp!C2:C37,B21)</f>
        <v>1217.6666666666667</v>
      </c>
      <c r="I21" s="18">
        <f>($C21-H21)/$C21</f>
        <v>0.22226953374494357</v>
      </c>
    </row>
    <row r="22" spans="1:9" x14ac:dyDescent="0.25">
      <c r="A22" s="8" t="s">
        <v>17</v>
      </c>
      <c r="B22" s="8" t="s">
        <v>14</v>
      </c>
      <c r="C22" s="17">
        <f>AVERAGEIFS(heur_norm_A!N2:N37,heur_norm_A!A2:A37,A22,heur_norm_A!C2:C37,B22)</f>
        <v>1275.3333333333333</v>
      </c>
      <c r="D22" s="17">
        <f>AVERAGEIFS(heur_norm_A!J2:J37,heur_norm_A!A2:A37,A22,heur_norm_A!C2:C37,B22)</f>
        <v>1110</v>
      </c>
      <c r="E22" s="18">
        <f>($C22-D22)/$C22</f>
        <v>0.12963930998431777</v>
      </c>
      <c r="F22" s="17">
        <f>AVERAGEIFS(heur_A_greedy!J2:J37,heur_A_greedy!A2:A37,A22,heur_A_greedy!C2:C37,B22)</f>
        <v>847.33333333333337</v>
      </c>
      <c r="G22" s="18">
        <f>($C22-F22)/$C22</f>
        <v>0.33559853633037107</v>
      </c>
      <c r="H22" s="17">
        <f>AVERAGEIFS(heur_A_dp!J2:J37,heur_A_dp!A2:A37,A22,heur_A_dp!C2:C37,B22)</f>
        <v>1110</v>
      </c>
      <c r="I22" s="18">
        <f>($C22-H22)/$C22</f>
        <v>0.12963930998431777</v>
      </c>
    </row>
    <row r="23" spans="1:9" x14ac:dyDescent="0.25">
      <c r="A23" s="8" t="s">
        <v>17</v>
      </c>
      <c r="B23" s="8" t="s">
        <v>15</v>
      </c>
      <c r="C23" s="17">
        <f>AVERAGEIFS(heur_norm_A!N2:N37,heur_norm_A!A2:A37,A23,heur_norm_A!C2:C37,B23)</f>
        <v>1277.6666666666667</v>
      </c>
      <c r="D23" s="17">
        <f>AVERAGEIFS(heur_norm_A!J2:J37,heur_norm_A!A2:A37,A23,heur_norm_A!C2:C37,B23)</f>
        <v>1154.6666666666667</v>
      </c>
      <c r="E23" s="18">
        <f>($C23-D23)/$C23</f>
        <v>9.6269240803548123E-2</v>
      </c>
      <c r="F23" s="17">
        <f>AVERAGEIFS(heur_A_greedy!J2:J37,heur_A_greedy!A2:A37,A23,heur_A_greedy!C2:C37,B23)</f>
        <v>936</v>
      </c>
      <c r="G23" s="18">
        <f>($C23-F23)/$C23</f>
        <v>0.26741455778763373</v>
      </c>
      <c r="H23" s="17">
        <f>AVERAGEIFS(heur_A_dp!J2:J37,heur_A_dp!A2:A37,A23,heur_A_dp!C2:C37,B23)</f>
        <v>1154.6666666666667</v>
      </c>
      <c r="I23" s="18">
        <f>($C23-H23)/$C23</f>
        <v>9.6269240803548123E-2</v>
      </c>
    </row>
    <row r="24" spans="1:9" x14ac:dyDescent="0.25">
      <c r="A24" s="8" t="s">
        <v>17</v>
      </c>
      <c r="B24" s="8" t="s">
        <v>16</v>
      </c>
      <c r="C24" s="17">
        <f>AVERAGEIFS(heur_norm_A!N2:N37,heur_norm_A!A2:A37,A24,heur_norm_A!C2:C37,B24)</f>
        <v>1540.6666666666667</v>
      </c>
      <c r="D24" s="17">
        <f>AVERAGEIFS(heur_norm_A!J2:J37,heur_norm_A!A2:A37,A24,heur_norm_A!C2:C37,B24)</f>
        <v>1440</v>
      </c>
      <c r="E24" s="18">
        <f>($C24-D24)/$C24</f>
        <v>6.5339679792297753E-2</v>
      </c>
      <c r="F24" s="17">
        <f>AVERAGEIFS(heur_A_greedy!J2:J37,heur_A_greedy!A2:A37,A24,heur_A_greedy!C2:C37,B24)</f>
        <v>1062</v>
      </c>
      <c r="G24" s="18">
        <f>($C24-F24)/$C24</f>
        <v>0.3106880138468196</v>
      </c>
      <c r="H24" s="17">
        <f>AVERAGEIFS(heur_A_dp!J2:J37,heur_A_dp!A2:A37,A24,heur_A_dp!C2:C37,B24)</f>
        <v>1409.5</v>
      </c>
      <c r="I24" s="18">
        <f>($C24-H24)/$C24</f>
        <v>8.5136304630030329E-2</v>
      </c>
    </row>
    <row r="25" spans="1:9" x14ac:dyDescent="0.25">
      <c r="A25" s="11" t="s">
        <v>18</v>
      </c>
      <c r="B25" s="12"/>
      <c r="C25" s="19">
        <f>AVERAGE(C19:C21)</f>
        <v>1373.2222222222224</v>
      </c>
      <c r="D25" s="19">
        <f>AVERAGE(D19:D21)</f>
        <v>1147.1111111111113</v>
      </c>
      <c r="E25" s="20">
        <f>($C25-D25)/$C25</f>
        <v>0.16465733473582</v>
      </c>
      <c r="F25" s="19">
        <f>AVERAGE(F19:F21)</f>
        <v>1026.5555555555557</v>
      </c>
      <c r="G25" s="20">
        <f>($C25-F25)/$C25</f>
        <v>0.2524476090298568</v>
      </c>
      <c r="H25" s="19">
        <f>AVERAGE(H19:H21)</f>
        <v>1140.7777777777781</v>
      </c>
      <c r="I25" s="20">
        <f>($C25-H25)/$C25</f>
        <v>0.16926935836232695</v>
      </c>
    </row>
    <row r="26" spans="1:9" x14ac:dyDescent="0.25">
      <c r="A26" s="11" t="s">
        <v>19</v>
      </c>
      <c r="B26" s="12"/>
      <c r="C26" s="19">
        <f>AVERAGE(C22:C24)</f>
        <v>1364.5555555555557</v>
      </c>
      <c r="D26" s="19">
        <f>AVERAGE(D22:D24)</f>
        <v>1234.8888888888889</v>
      </c>
      <c r="E26" s="20">
        <f>($C26-D26)/$C26</f>
        <v>9.5024835111147343E-2</v>
      </c>
      <c r="F26" s="19">
        <f>AVERAGE(F22:F24)</f>
        <v>948.44444444444446</v>
      </c>
      <c r="G26" s="20">
        <f>($C26-F26)/$C26</f>
        <v>0.30494259425128251</v>
      </c>
      <c r="H26" s="19">
        <f>AVERAGE(H22:H24)</f>
        <v>1224.7222222222224</v>
      </c>
      <c r="I26" s="20">
        <f>($C26-H26)/$C26</f>
        <v>0.10247536845533745</v>
      </c>
    </row>
    <row r="28" spans="1:9" x14ac:dyDescent="0.25">
      <c r="A28" s="21"/>
      <c r="B28" s="21" t="s">
        <v>3</v>
      </c>
      <c r="C28" s="21" t="s">
        <v>4</v>
      </c>
      <c r="D28" s="21" t="s">
        <v>5</v>
      </c>
    </row>
    <row r="29" spans="1:9" x14ac:dyDescent="0.25">
      <c r="A29" t="s">
        <v>24</v>
      </c>
      <c r="B29" s="22">
        <f>C13</f>
        <v>0.06</v>
      </c>
      <c r="C29" s="23">
        <f>F13</f>
        <v>3.2222222222222222E-2</v>
      </c>
      <c r="D29" s="23">
        <f>I13</f>
        <v>4.2222222222222223E-2</v>
      </c>
    </row>
    <row r="30" spans="1:9" x14ac:dyDescent="0.25">
      <c r="A30" t="s">
        <v>25</v>
      </c>
      <c r="B30" s="22">
        <f>C14</f>
        <v>7.1111111111111111E-2</v>
      </c>
      <c r="C30" s="23">
        <f>F14</f>
        <v>0.02</v>
      </c>
      <c r="D30" s="23">
        <f>I14</f>
        <v>3.3333333333333333E-2</v>
      </c>
    </row>
    <row r="32" spans="1:9" x14ac:dyDescent="0.25">
      <c r="A32" s="21"/>
      <c r="B32" s="21" t="s">
        <v>3</v>
      </c>
      <c r="C32" s="21" t="s">
        <v>4</v>
      </c>
      <c r="D32" s="21" t="s">
        <v>5</v>
      </c>
    </row>
    <row r="33" spans="1:4" x14ac:dyDescent="0.25">
      <c r="A33" t="s">
        <v>26</v>
      </c>
      <c r="B33" s="24">
        <f>E25</f>
        <v>0.16465733473582</v>
      </c>
      <c r="C33" s="24">
        <f>G25</f>
        <v>0.2524476090298568</v>
      </c>
      <c r="D33" s="24">
        <f>I25</f>
        <v>0.16926935836232695</v>
      </c>
    </row>
    <row r="34" spans="1:4" x14ac:dyDescent="0.25">
      <c r="A34" t="s">
        <v>27</v>
      </c>
      <c r="B34" s="24">
        <f>E26</f>
        <v>9.5024835111147343E-2</v>
      </c>
      <c r="C34" s="24">
        <f>G26</f>
        <v>0.30494259425128251</v>
      </c>
      <c r="D34" s="24">
        <f>I26</f>
        <v>0.10247536845533745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heur_norm_A</vt:lpstr>
      <vt:lpstr>heur_A_greedy</vt:lpstr>
      <vt:lpstr>heur_A_dp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Koenders</dc:creator>
  <cp:lastModifiedBy>Dylan Koenders</cp:lastModifiedBy>
  <dcterms:created xsi:type="dcterms:W3CDTF">2015-06-05T18:17:20Z</dcterms:created>
  <dcterms:modified xsi:type="dcterms:W3CDTF">2026-03-23T15:00:38Z</dcterms:modified>
</cp:coreProperties>
</file>