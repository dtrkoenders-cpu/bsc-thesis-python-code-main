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e50fe87d39adb08/Bureaublad/Boeken Econometrie/Jaar 3/Bachelor thesis/bsc-thesis-python-code-main/test/test_results/n_1000/"/>
    </mc:Choice>
  </mc:AlternateContent>
  <xr:revisionPtr revIDLastSave="1042" documentId="11_F25DC773A252ABDACC1048ACD11B7BD65BDE58ED" xr6:coauthVersionLast="47" xr6:coauthVersionMax="47" xr10:uidLastSave="{24C54714-BFAA-4733-827F-348E3D43426F}"/>
  <bookViews>
    <workbookView xWindow="-110" yWindow="-110" windowWidth="19420" windowHeight="10300" activeTab="3" xr2:uid="{00000000-000D-0000-FFFF-FFFF00000000}"/>
  </bookViews>
  <sheets>
    <sheet name="heur_norm_A" sheetId="3" r:id="rId1"/>
    <sheet name="heur_A_greedy" sheetId="1" r:id="rId2"/>
    <sheet name="heur_A_dp" sheetId="2" r:id="rId3"/>
    <sheet name="Analysis" sheetId="4" r:id="rId4"/>
  </sheets>
  <definedNames>
    <definedName name="_xlnm._FilterDatabase" localSheetId="2" hidden="1">heur_A_dp!$A$1:$N$37</definedName>
    <definedName name="_xlnm._FilterDatabase" localSheetId="1" hidden="1">heur_A_greedy!$A$1:$N$37</definedName>
    <definedName name="_xlnm._FilterDatabase" localSheetId="0" hidden="1">heur_norm_A!$A$1:$N$37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F24" i="4"/>
  <c r="D24" i="4"/>
  <c r="C24" i="4"/>
  <c r="H23" i="4"/>
  <c r="F23" i="4"/>
  <c r="D23" i="4"/>
  <c r="C23" i="4"/>
  <c r="E23" i="4" s="1"/>
  <c r="H22" i="4"/>
  <c r="F22" i="4"/>
  <c r="D22" i="4"/>
  <c r="C22" i="4"/>
  <c r="H21" i="4"/>
  <c r="F21" i="4"/>
  <c r="D21" i="4"/>
  <c r="C21" i="4"/>
  <c r="H20" i="4"/>
  <c r="F20" i="4"/>
  <c r="D20" i="4"/>
  <c r="C20" i="4"/>
  <c r="G20" i="4" s="1"/>
  <c r="H19" i="4"/>
  <c r="H25" i="4" s="1"/>
  <c r="F19" i="4"/>
  <c r="G19" i="4" s="1"/>
  <c r="D19" i="4"/>
  <c r="D25" i="4" s="1"/>
  <c r="C19" i="4"/>
  <c r="E19" i="4" s="1"/>
  <c r="L13" i="4"/>
  <c r="L12" i="4"/>
  <c r="K12" i="4"/>
  <c r="J12" i="4"/>
  <c r="I12" i="4"/>
  <c r="H12" i="4"/>
  <c r="G12" i="4"/>
  <c r="F12" i="4"/>
  <c r="E12" i="4"/>
  <c r="D12" i="4"/>
  <c r="C12" i="4"/>
  <c r="L11" i="4"/>
  <c r="K11" i="4"/>
  <c r="J11" i="4"/>
  <c r="I11" i="4"/>
  <c r="H11" i="4"/>
  <c r="G11" i="4"/>
  <c r="F11" i="4"/>
  <c r="E11" i="4"/>
  <c r="E14" i="4" s="1"/>
  <c r="D11" i="4"/>
  <c r="D14" i="4" s="1"/>
  <c r="C11" i="4"/>
  <c r="C14" i="4" s="1"/>
  <c r="B30" i="4" s="1"/>
  <c r="L10" i="4"/>
  <c r="L14" i="4" s="1"/>
  <c r="K10" i="4"/>
  <c r="J10" i="4"/>
  <c r="I10" i="4"/>
  <c r="H10" i="4"/>
  <c r="G10" i="4"/>
  <c r="F10" i="4"/>
  <c r="E10" i="4"/>
  <c r="D10" i="4"/>
  <c r="C10" i="4"/>
  <c r="L9" i="4"/>
  <c r="K9" i="4"/>
  <c r="J9" i="4"/>
  <c r="I9" i="4"/>
  <c r="H9" i="4"/>
  <c r="G9" i="4"/>
  <c r="F9" i="4"/>
  <c r="E9" i="4"/>
  <c r="D9" i="4"/>
  <c r="C9" i="4"/>
  <c r="L8" i="4"/>
  <c r="K8" i="4"/>
  <c r="J8" i="4"/>
  <c r="I8" i="4"/>
  <c r="H8" i="4"/>
  <c r="G8" i="4"/>
  <c r="F8" i="4"/>
  <c r="E8" i="4"/>
  <c r="D8" i="4"/>
  <c r="C8" i="4"/>
  <c r="L7" i="4"/>
  <c r="K7" i="4"/>
  <c r="K13" i="4" s="1"/>
  <c r="J7" i="4"/>
  <c r="J13" i="4" s="1"/>
  <c r="I7" i="4"/>
  <c r="H7" i="4"/>
  <c r="G7" i="4"/>
  <c r="F7" i="4"/>
  <c r="E7" i="4"/>
  <c r="E13" i="4" s="1"/>
  <c r="D7" i="4"/>
  <c r="D13" i="4" s="1"/>
  <c r="C7" i="4"/>
  <c r="I13" i="4" l="1"/>
  <c r="D29" i="4" s="1"/>
  <c r="I24" i="4"/>
  <c r="J14" i="4"/>
  <c r="K14" i="4"/>
  <c r="F13" i="4"/>
  <c r="C29" i="4" s="1"/>
  <c r="E21" i="4"/>
  <c r="G13" i="4"/>
  <c r="F14" i="4"/>
  <c r="C30" i="4" s="1"/>
  <c r="G21" i="4"/>
  <c r="F26" i="4"/>
  <c r="G14" i="4"/>
  <c r="I21" i="4"/>
  <c r="H26" i="4"/>
  <c r="H13" i="4"/>
  <c r="H14" i="4"/>
  <c r="C25" i="4"/>
  <c r="E25" i="4" s="1"/>
  <c r="B33" i="4" s="1"/>
  <c r="C13" i="4"/>
  <c r="B29" i="4" s="1"/>
  <c r="I14" i="4"/>
  <c r="D30" i="4" s="1"/>
  <c r="D26" i="4"/>
  <c r="F25" i="4"/>
  <c r="E22" i="4"/>
  <c r="I19" i="4"/>
  <c r="G23" i="4"/>
  <c r="I23" i="4"/>
  <c r="C26" i="4"/>
  <c r="E20" i="4"/>
  <c r="I20" i="4"/>
  <c r="G22" i="4"/>
  <c r="E24" i="4"/>
  <c r="I22" i="4"/>
  <c r="G24" i="4"/>
  <c r="G25" i="4" l="1"/>
  <c r="C33" i="4" s="1"/>
  <c r="I25" i="4"/>
  <c r="D33" i="4" s="1"/>
  <c r="G26" i="4"/>
  <c r="C34" i="4" s="1"/>
  <c r="E26" i="4"/>
  <c r="B34" i="4" s="1"/>
  <c r="I26" i="4"/>
  <c r="D34" i="4" s="1"/>
</calcChain>
</file>

<file path=xl/sharedStrings.xml><?xml version="1.0" encoding="utf-8"?>
<sst xmlns="http://schemas.openxmlformats.org/spreadsheetml/2006/main" count="551" uniqueCount="85">
  <si>
    <t>scenario</t>
  </si>
  <si>
    <t>p_overlap</t>
  </si>
  <si>
    <t>corr_type</t>
  </si>
  <si>
    <t>instance_file</t>
  </si>
  <si>
    <t>n</t>
  </si>
  <si>
    <t>k</t>
  </si>
  <si>
    <t>violations</t>
  </si>
  <si>
    <t>new_sets</t>
  </si>
  <si>
    <t>obj_disjoint</t>
  </si>
  <si>
    <t>obj_overlap</t>
  </si>
  <si>
    <t>runtime_dp</t>
  </si>
  <si>
    <t>time_A</t>
  </si>
  <si>
    <t>time_bellman</t>
  </si>
  <si>
    <t>obj_gurobi</t>
  </si>
  <si>
    <t>violations_gurobi</t>
  </si>
  <si>
    <t>runtime_gurobi</t>
  </si>
  <si>
    <t>scenario 1</t>
  </si>
  <si>
    <t>p_20</t>
  </si>
  <si>
    <t>correlated</t>
  </si>
  <si>
    <t>scen_1id_10_objs_1000_size_1550_sets_89_k_18_overlap_20_correlated.txt</t>
  </si>
  <si>
    <t>scen_1id_1_objs_1000_size_1550_sets_89_k_18_overlap_20_correlated.txt</t>
  </si>
  <si>
    <t>scen_1id_2_objs_1000_size_1550_sets_96_k_18_overlap_20_correlated.txt</t>
  </si>
  <si>
    <t>fully-correlated</t>
  </si>
  <si>
    <t>scen_1id_10_objs_1000_size_1550_sets_96_k_18_overlap_20_fully-correlated.txt</t>
  </si>
  <si>
    <t>scen_1id_1_objs_1000_size_1550_sets_88_k_18_overlap_20_fully-correlated.txt</t>
  </si>
  <si>
    <t>scen_1id_2_objs_1000_size_1550_sets_85_k_18_overlap_20_fully-correlated.txt</t>
  </si>
  <si>
    <t>not-correlated</t>
  </si>
  <si>
    <t>scen_1id_10_objs_1000_size_1550_sets_93_k_18_overlap_20_not-correlated.txt</t>
  </si>
  <si>
    <t>scen_1id_1_objs_1000_size_1550_sets_89_k_18_overlap_20_not-correlated.txt</t>
  </si>
  <si>
    <t>scen_1id_2_objs_1000_size_1550_sets_87_k_18_overlap_20_not-correlated.txt</t>
  </si>
  <si>
    <t>scenario 2</t>
  </si>
  <si>
    <t>scen_2id_10_objs_1000_size_1550_sets_36_k_18_overlap_20_correlated.txt</t>
  </si>
  <si>
    <t>scen_2id_1_objs_1000_size_1550_sets_40_k_18_overlap_20_correlated.txt</t>
  </si>
  <si>
    <t>scen_2id_2_objs_1000_size_1550_sets_42_k_18_overlap_20_correlated.txt</t>
  </si>
  <si>
    <t>scen_2id_10_objs_1000_size_1550_sets_41_k_18_overlap_20_fully-correlated.txt</t>
  </si>
  <si>
    <t>scen_2id_1_objs_1000_size_1550_sets_37_k_18_overlap_20_fully-correlated.txt</t>
  </si>
  <si>
    <t>scen_2id_2_objs_1000_size_1550_sets_35_k_18_overlap_20_fully-correlated.txt</t>
  </si>
  <si>
    <t>scen_2id_10_objs_1000_size_1550_sets_40_k_18_overlap_20_not-correlated.txt</t>
  </si>
  <si>
    <t>scen_2id_1_objs_1000_size_1550_sets_37_k_18_overlap_20_not-correlated.txt</t>
  </si>
  <si>
    <t>scen_2id_2_objs_1000_size_1550_sets_36_k_18_overlap_20_not-correlated.txt</t>
  </si>
  <si>
    <t>scenario 3</t>
  </si>
  <si>
    <t>scen_3id_10_objs_1000_size_1550_sets_89_k_67_overlap_20_correlated.txt</t>
  </si>
  <si>
    <t>scen_3id_1_objs_1000_size_1550_sets_89_k_67_overlap_20_correlated.txt</t>
  </si>
  <si>
    <t>scen_3id_2_objs_1000_size_1550_sets_96_k_67_overlap_20_correlated.txt</t>
  </si>
  <si>
    <t>scen_3id_10_objs_1000_size_1550_sets_96_k_67_overlap_20_fully-correlated.txt</t>
  </si>
  <si>
    <t>scen_3id_1_objs_1000_size_1550_sets_88_k_67_overlap_20_fully-correlated.txt</t>
  </si>
  <si>
    <t>scen_3id_2_objs_1000_size_1550_sets_85_k_67_overlap_20_fully-correlated.txt</t>
  </si>
  <si>
    <t>scen_3id_10_objs_1000_size_1550_sets_93_k_67_overlap_20_not-correlated.txt</t>
  </si>
  <si>
    <t>scen_3id_1_objs_1000_size_1550_sets_89_k_67_overlap_20_not-correlated.txt</t>
  </si>
  <si>
    <t>scen_3id_2_objs_1000_size_1550_sets_87_k_67_overlap_20_not-correlated.txt</t>
  </si>
  <si>
    <t>scenario 4</t>
  </si>
  <si>
    <t>scen_4id_10_objs_1000_size_1550_sets_36_k_67_overlap_20_correlated.txt</t>
  </si>
  <si>
    <t>scen_4id_1_objs_1000_size_1550_sets_40_k_67_overlap_20_correlated.txt</t>
  </si>
  <si>
    <t>scen_4id_2_objs_1000_size_1550_sets_42_k_67_overlap_20_correlated.txt</t>
  </si>
  <si>
    <t>scen_4id_10_objs_1000_size_1550_sets_41_k_67_overlap_20_fully-correlated.txt</t>
  </si>
  <si>
    <t>scen_4id_1_objs_1000_size_1550_sets_37_k_67_overlap_20_fully-correlated.txt</t>
  </si>
  <si>
    <t>scen_4id_2_objs_1000_size_1550_sets_35_k_67_overlap_20_fully-correlated.txt</t>
  </si>
  <si>
    <t>scen_4id_10_objs_1000_size_1550_sets_40_k_67_overlap_20_not-correlated.txt</t>
  </si>
  <si>
    <t>scen_4id_1_objs_1000_size_1550_sets_37_k_67_overlap_20_not-correlated.txt</t>
  </si>
  <si>
    <t>scen_4id_2_objs_1000_size_1550_sets_36_k_67_overlap_20_not-correlated.txt</t>
  </si>
  <si>
    <t>Scenario 3 &amp; 4 — Heuristic Performance Analysis</t>
  </si>
  <si>
    <t>Runtime &amp; Solution Quality Comparison across heur_norm_A, heur_A_greedy, heur_A_dp</t>
  </si>
  <si>
    <t>1. RUNTIME ANALYSIS (seconds)</t>
  </si>
  <si>
    <t>heur_norm_A</t>
  </si>
  <si>
    <t>heur_A_greedy</t>
  </si>
  <si>
    <t>heur_A_dp</t>
  </si>
  <si>
    <t>Gurobi</t>
  </si>
  <si>
    <t>Scenario</t>
  </si>
  <si>
    <t>Correlation</t>
  </si>
  <si>
    <t>Avg runtime_dp</t>
  </si>
  <si>
    <t>Avg time_A</t>
  </si>
  <si>
    <t>Avg time_bellman</t>
  </si>
  <si>
    <t>Avg obj_gurobi</t>
  </si>
  <si>
    <t>Avg runtime</t>
  </si>
  <si>
    <t>Scenario 3</t>
  </si>
  <si>
    <t>Scenario 4</t>
  </si>
  <si>
    <t>Scenario 3 Avg</t>
  </si>
  <si>
    <t>Scenario 4 Avg</t>
  </si>
  <si>
    <t>2. SOLUTION QUALITY ANALYSIS</t>
  </si>
  <si>
    <t>Avg obj_overlap</t>
  </si>
  <si>
    <t>Gap %</t>
  </si>
  <si>
    <t>Scenario 3 Avg runtime_dp</t>
  </si>
  <si>
    <t>Scenario 4 Avg runtime_dp</t>
  </si>
  <si>
    <t>Scenario 3 Optimality Gap</t>
  </si>
  <si>
    <t>Scenario 4 Optimality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</si>
</sst>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4823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4" fillId="5" borderId="0" xfId="0" applyFont="1" applyFill="1"/>
    <xf numFmtId="0" fontId="0" fillId="5" borderId="0" xfId="0" applyFill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0" fontId="0" fillId="4" borderId="1" xfId="0" applyFill="1" applyBorder="1"/>
    <xf numFmtId="2" fontId="1" fillId="4" borderId="1" xfId="0" applyNumberFormat="1" applyFont="1" applyFill="1" applyBorder="1"/>
    <xf numFmtId="165" fontId="1" fillId="4" borderId="1" xfId="0" applyNumberFormat="1" applyFont="1" applyFill="1" applyBorder="1"/>
    <xf numFmtId="3" fontId="1" fillId="4" borderId="1" xfId="0" applyNumberFormat="1" applyFont="1" applyFill="1" applyBorder="1"/>
    <xf numFmtId="0" fontId="0" fillId="3" borderId="1" xfId="0" applyFill="1" applyBorder="1"/>
    <xf numFmtId="0" fontId="1" fillId="4" borderId="1" xfId="0" applyFont="1" applyFill="1" applyBorder="1"/>
    <xf numFmtId="164" fontId="0" fillId="0" borderId="1" xfId="0" applyNumberFormat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Total Runtime (runtime_dp) — Scenario 3 &amp;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Analysis!$A$30</c:f>
              <c:strCache>
                <c:ptCount val="1"/>
                <c:pt idx="0">
                  <c:v>Scenario 4 Avg runtime_dp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Analysis!$B$28:$D$28</c:f>
              <c:strCache>
                <c:ptCount val="3"/>
                <c:pt idx="0">
                  <c:v>heur_norm_A</c:v>
                </c:pt>
                <c:pt idx="1">
                  <c:v>heur_A_greedy</c:v>
                </c:pt>
                <c:pt idx="2">
                  <c:v>heur_A_dp</c:v>
                </c:pt>
              </c:strCache>
            </c:strRef>
          </c:cat>
          <c:val>
            <c:numRef>
              <c:f>Analysis!$B$30:$D$30</c:f>
              <c:numCache>
                <c:formatCode>General</c:formatCode>
                <c:ptCount val="3"/>
                <c:pt idx="0">
                  <c:v>2.4888888888888889</c:v>
                </c:pt>
                <c:pt idx="1">
                  <c:v>0.10222222222222221</c:v>
                </c:pt>
                <c:pt idx="2">
                  <c:v>1.1311111111111112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F-4CFD-BABA-88514A01562B}"/>
            </c:ext>
          </c:extLst>
        </c:ser>
        <c:ser>
          <c:idx val="1"/>
          <c:order val="1"/>
          <c:tx>
            <c:strRef>
              <c:f>Analysis!$A$29</c:f>
              <c:strCache>
                <c:ptCount val="1"/>
                <c:pt idx="0">
                  <c:v>Scenario 3 Avg runtime_dp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Analysis!$B$28:$D$28</c:f>
              <c:strCache>
                <c:ptCount val="3"/>
                <c:pt idx="0">
                  <c:v>heur_norm_A</c:v>
                </c:pt>
                <c:pt idx="1">
                  <c:v>heur_A_greedy</c:v>
                </c:pt>
                <c:pt idx="2">
                  <c:v>heur_A_dp</c:v>
                </c:pt>
              </c:strCache>
            </c:strRef>
          </c:cat>
          <c:val>
            <c:numRef>
              <c:f>Analysis!$B$29:$D$29</c:f>
              <c:numCache>
                <c:formatCode>General</c:formatCode>
                <c:ptCount val="3"/>
                <c:pt idx="0">
                  <c:v>2.0766666666666667</c:v>
                </c:pt>
                <c:pt idx="1">
                  <c:v>0.15333333333333335</c:v>
                </c:pt>
                <c:pt idx="2">
                  <c:v>1.7555555555555555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F-4CFD-BABA-88514A015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8700560"/>
        <c:axId val="1268701520"/>
      </c:barChart>
      <c:catAx>
        <c:axId val="126870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701520"/>
        <c:crosses val="autoZero"/>
        <c:auto val="1"/>
        <c:lblAlgn val="ctr"/>
        <c:lblOffset val="100"/>
        <c:noMultiLvlLbl val="0"/>
      </c:catAx>
      <c:valAx>
        <c:axId val="126870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70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Optimality Gap (% below Gurobi) — Scenario 3 &amp;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Analysis!$A$34</c:f>
              <c:strCache>
                <c:ptCount val="1"/>
                <c:pt idx="0">
                  <c:v>Scenario 4 Optimality Gap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Analysis!$B$32:$D$32</c:f>
              <c:strCache>
                <c:ptCount val="3"/>
                <c:pt idx="0">
                  <c:v>heur_norm_A</c:v>
                </c:pt>
                <c:pt idx="1">
                  <c:v>heur_A_greedy</c:v>
                </c:pt>
                <c:pt idx="2">
                  <c:v>heur_A_dp</c:v>
                </c:pt>
              </c:strCache>
            </c:strRef>
          </c:cat>
          <c:val>
            <c:numRef>
              <c:f>Analysis!$B$34:$D$34</c:f>
              <c:numCache>
                <c:formatCode>General</c:formatCode>
                <c:ptCount val="3"/>
                <c:pt idx="0">
                  <c:v>8.6456181764532375E-2</c:v>
                </c:pt>
                <c:pt idx="1">
                  <c:v>0.55788334808694806</c:v>
                </c:pt>
                <c:pt idx="2">
                  <c:v>9.201337661060284E-2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D-4DBC-9AC2-EFA999A0736D}"/>
            </c:ext>
          </c:extLst>
        </c:ser>
        <c:ser>
          <c:idx val="1"/>
          <c:order val="1"/>
          <c:tx>
            <c:strRef>
              <c:f>Analysis!$A$33</c:f>
              <c:strCache>
                <c:ptCount val="1"/>
                <c:pt idx="0">
                  <c:v>Scenario 3 Optimality Gap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Analysis!$B$32:$D$32</c:f>
              <c:strCache>
                <c:ptCount val="3"/>
                <c:pt idx="0">
                  <c:v>heur_norm_A</c:v>
                </c:pt>
                <c:pt idx="1">
                  <c:v>heur_A_greedy</c:v>
                </c:pt>
                <c:pt idx="2">
                  <c:v>heur_A_dp</c:v>
                </c:pt>
              </c:strCache>
            </c:strRef>
          </c:cat>
          <c:val>
            <c:numRef>
              <c:f>Analysis!$B$33:$D$33</c:f>
              <c:numCache>
                <c:formatCode>General</c:formatCode>
                <c:ptCount val="3"/>
                <c:pt idx="0">
                  <c:v>9.9161770851257144E-2</c:v>
                </c:pt>
                <c:pt idx="1">
                  <c:v>0.37607236793589138</c:v>
                </c:pt>
                <c:pt idx="2">
                  <c:v>0.10176740984734881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D-4DBC-9AC2-EFA999A07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8702480"/>
        <c:axId val="1268695280"/>
      </c:barChart>
      <c:catAx>
        <c:axId val="1268702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695280"/>
        <c:crosses val="autoZero"/>
        <c:auto val="1"/>
        <c:lblAlgn val="ctr"/>
        <c:lblOffset val="100"/>
        <c:noMultiLvlLbl val="0"/>
      </c:catAx>
      <c:valAx>
        <c:axId val="126869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70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0</xdr:rowOff>
    </xdr:from>
    <xdr:to>
      <xdr:col>3</xdr:col>
      <xdr:colOff>561975</xdr:colOff>
      <xdr:row>49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BC223-6527-B8CB-6919-ED9CE9EAA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10</xdr:col>
      <xdr:colOff>942975</xdr:colOff>
      <xdr:row>49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137FFD-A88D-9FD2-BBEF-447DBC29C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244EF7-A1D3-42C0-BA49-F8E9D950E534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1C2D-8728-4C43-AC9C-4C88E35D3151}">
  <dimension ref="A1:P37"/>
  <sheetViews>
    <sheetView topLeftCell="D1" workbookViewId="0">
      <selection sqref="A1:A37"/>
    </sheetView>
  </sheetViews>
  <sheetFormatPr defaultRowHeight="14.5" x14ac:dyDescent="0.35"/>
  <cols>
    <col min="1" max="1" width="10.7265625" bestFit="1" customWidth="1"/>
    <col min="2" max="2" width="12.1796875" bestFit="1" customWidth="1"/>
    <col min="3" max="3" width="15" bestFit="1" customWidth="1"/>
    <col min="4" max="4" width="74.1796875" bestFit="1" customWidth="1"/>
    <col min="5" max="5" width="5" bestFit="1" customWidth="1"/>
    <col min="6" max="6" width="4.26953125" bestFit="1" customWidth="1"/>
    <col min="7" max="7" width="12" bestFit="1" customWidth="1"/>
    <col min="8" max="8" width="11.7265625" bestFit="1" customWidth="1"/>
    <col min="9" max="10" width="13.81640625" bestFit="1" customWidth="1"/>
    <col min="11" max="11" width="13.7265625" bestFit="1" customWidth="1"/>
    <col min="12" max="12" width="9.7265625" bestFit="1" customWidth="1"/>
    <col min="13" max="13" width="15.81640625" bestFit="1" customWidth="1"/>
    <col min="14" max="14" width="12.81640625" bestFit="1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>
        <v>1000</v>
      </c>
      <c r="F2">
        <v>18</v>
      </c>
      <c r="G2">
        <v>4</v>
      </c>
      <c r="H2">
        <v>206</v>
      </c>
      <c r="I2">
        <v>422</v>
      </c>
      <c r="J2">
        <v>429</v>
      </c>
      <c r="K2">
        <v>2.2799999999999998</v>
      </c>
      <c r="L2">
        <v>0.15</v>
      </c>
      <c r="M2">
        <v>2.11</v>
      </c>
      <c r="N2">
        <v>2602</v>
      </c>
      <c r="O2">
        <v>18</v>
      </c>
      <c r="P2">
        <v>0.01</v>
      </c>
    </row>
    <row r="3" spans="1:16" x14ac:dyDescent="0.35">
      <c r="A3" t="s">
        <v>16</v>
      </c>
      <c r="B3" t="s">
        <v>17</v>
      </c>
      <c r="C3" t="s">
        <v>18</v>
      </c>
      <c r="D3" t="s">
        <v>20</v>
      </c>
      <c r="E3">
        <v>1000</v>
      </c>
      <c r="F3">
        <v>18</v>
      </c>
      <c r="G3">
        <v>2</v>
      </c>
      <c r="H3">
        <v>196</v>
      </c>
      <c r="I3">
        <v>372</v>
      </c>
      <c r="J3">
        <v>385</v>
      </c>
      <c r="K3">
        <v>2.3199999999999998</v>
      </c>
      <c r="L3">
        <v>0.15</v>
      </c>
      <c r="M3">
        <v>2.14</v>
      </c>
      <c r="N3">
        <v>2602</v>
      </c>
      <c r="O3">
        <v>18</v>
      </c>
      <c r="P3">
        <v>0.02</v>
      </c>
    </row>
    <row r="4" spans="1:16" x14ac:dyDescent="0.35">
      <c r="A4" t="s">
        <v>16</v>
      </c>
      <c r="B4" t="s">
        <v>17</v>
      </c>
      <c r="C4" t="s">
        <v>18</v>
      </c>
      <c r="D4" t="s">
        <v>21</v>
      </c>
      <c r="E4">
        <v>1000</v>
      </c>
      <c r="F4">
        <v>18</v>
      </c>
      <c r="G4">
        <v>4</v>
      </c>
      <c r="H4">
        <v>208</v>
      </c>
      <c r="I4">
        <v>340</v>
      </c>
      <c r="J4">
        <v>350</v>
      </c>
      <c r="K4">
        <v>2.06</v>
      </c>
      <c r="L4">
        <v>0.15</v>
      </c>
      <c r="M4">
        <v>1.88</v>
      </c>
      <c r="N4">
        <v>2662</v>
      </c>
      <c r="O4">
        <v>18</v>
      </c>
      <c r="P4">
        <v>0.02</v>
      </c>
    </row>
    <row r="5" spans="1:16" x14ac:dyDescent="0.35">
      <c r="A5" t="s">
        <v>16</v>
      </c>
      <c r="B5" t="s">
        <v>17</v>
      </c>
      <c r="C5" t="s">
        <v>22</v>
      </c>
      <c r="D5" t="s">
        <v>23</v>
      </c>
      <c r="E5">
        <v>1000</v>
      </c>
      <c r="F5">
        <v>18</v>
      </c>
      <c r="G5">
        <v>4</v>
      </c>
      <c r="H5">
        <v>198</v>
      </c>
      <c r="I5">
        <v>408</v>
      </c>
      <c r="J5">
        <v>420</v>
      </c>
      <c r="K5">
        <v>2.0499999999999998</v>
      </c>
      <c r="L5">
        <v>0.14000000000000001</v>
      </c>
      <c r="M5">
        <v>1.87</v>
      </c>
      <c r="N5">
        <v>2644</v>
      </c>
      <c r="O5">
        <v>18</v>
      </c>
      <c r="P5">
        <v>0.01</v>
      </c>
    </row>
    <row r="6" spans="1:16" x14ac:dyDescent="0.35">
      <c r="A6" t="s">
        <v>16</v>
      </c>
      <c r="B6" t="s">
        <v>17</v>
      </c>
      <c r="C6" t="s">
        <v>22</v>
      </c>
      <c r="D6" t="s">
        <v>24</v>
      </c>
      <c r="E6">
        <v>1000</v>
      </c>
      <c r="F6">
        <v>18</v>
      </c>
      <c r="G6">
        <v>2</v>
      </c>
      <c r="H6">
        <v>174</v>
      </c>
      <c r="I6">
        <v>447</v>
      </c>
      <c r="J6">
        <v>466</v>
      </c>
      <c r="K6">
        <v>2.39</v>
      </c>
      <c r="L6">
        <v>0.16</v>
      </c>
      <c r="M6">
        <v>2.2000000000000002</v>
      </c>
      <c r="N6">
        <v>2574</v>
      </c>
      <c r="O6">
        <v>18</v>
      </c>
      <c r="P6">
        <v>0.02</v>
      </c>
    </row>
    <row r="7" spans="1:16" x14ac:dyDescent="0.35">
      <c r="A7" t="s">
        <v>16</v>
      </c>
      <c r="B7" t="s">
        <v>17</v>
      </c>
      <c r="C7" t="s">
        <v>22</v>
      </c>
      <c r="D7" t="s">
        <v>25</v>
      </c>
      <c r="E7">
        <v>1000</v>
      </c>
      <c r="F7">
        <v>18</v>
      </c>
      <c r="G7">
        <v>3</v>
      </c>
      <c r="H7">
        <v>178</v>
      </c>
      <c r="I7">
        <v>336</v>
      </c>
      <c r="J7">
        <v>349</v>
      </c>
      <c r="K7">
        <v>2.63</v>
      </c>
      <c r="L7">
        <v>0.16</v>
      </c>
      <c r="M7">
        <v>2.4300000000000002</v>
      </c>
      <c r="N7">
        <v>2544</v>
      </c>
      <c r="O7">
        <v>18</v>
      </c>
      <c r="P7">
        <v>0.01</v>
      </c>
    </row>
    <row r="8" spans="1:16" x14ac:dyDescent="0.35">
      <c r="A8" t="s">
        <v>16</v>
      </c>
      <c r="B8" t="s">
        <v>17</v>
      </c>
      <c r="C8" t="s">
        <v>26</v>
      </c>
      <c r="D8" t="s">
        <v>27</v>
      </c>
      <c r="E8">
        <v>1000</v>
      </c>
      <c r="F8">
        <v>18</v>
      </c>
      <c r="G8">
        <v>3</v>
      </c>
      <c r="H8">
        <v>183</v>
      </c>
      <c r="I8">
        <v>273</v>
      </c>
      <c r="J8">
        <v>283</v>
      </c>
      <c r="K8">
        <v>2.91</v>
      </c>
      <c r="L8">
        <v>0.16</v>
      </c>
      <c r="M8">
        <v>2.7</v>
      </c>
      <c r="N8">
        <v>2895</v>
      </c>
      <c r="O8">
        <v>18</v>
      </c>
      <c r="P8">
        <v>0.03</v>
      </c>
    </row>
    <row r="9" spans="1:16" x14ac:dyDescent="0.35">
      <c r="A9" t="s">
        <v>16</v>
      </c>
      <c r="B9" t="s">
        <v>17</v>
      </c>
      <c r="C9" t="s">
        <v>26</v>
      </c>
      <c r="D9" t="s">
        <v>28</v>
      </c>
      <c r="E9">
        <v>1000</v>
      </c>
      <c r="F9">
        <v>18</v>
      </c>
      <c r="G9">
        <v>1</v>
      </c>
      <c r="H9">
        <v>196</v>
      </c>
      <c r="I9">
        <v>269</v>
      </c>
      <c r="J9">
        <v>284</v>
      </c>
      <c r="K9">
        <v>2.66</v>
      </c>
      <c r="L9">
        <v>0.16</v>
      </c>
      <c r="M9">
        <v>2.4500000000000002</v>
      </c>
      <c r="N9">
        <v>2810</v>
      </c>
      <c r="O9">
        <v>18</v>
      </c>
      <c r="P9">
        <v>0.01</v>
      </c>
    </row>
    <row r="10" spans="1:16" x14ac:dyDescent="0.35">
      <c r="A10" t="s">
        <v>16</v>
      </c>
      <c r="B10" t="s">
        <v>17</v>
      </c>
      <c r="C10" t="s">
        <v>26</v>
      </c>
      <c r="D10" t="s">
        <v>29</v>
      </c>
      <c r="E10">
        <v>1000</v>
      </c>
      <c r="F10">
        <v>18</v>
      </c>
      <c r="G10">
        <v>2</v>
      </c>
      <c r="H10">
        <v>166</v>
      </c>
      <c r="I10">
        <v>246</v>
      </c>
      <c r="J10">
        <v>259</v>
      </c>
      <c r="K10">
        <v>2.95</v>
      </c>
      <c r="L10">
        <v>0.17</v>
      </c>
      <c r="M10">
        <v>2.74</v>
      </c>
      <c r="N10">
        <v>2688</v>
      </c>
      <c r="O10">
        <v>18</v>
      </c>
      <c r="P10">
        <v>0.01</v>
      </c>
    </row>
    <row r="11" spans="1:16" x14ac:dyDescent="0.35">
      <c r="A11" t="s">
        <v>30</v>
      </c>
      <c r="B11" t="s">
        <v>17</v>
      </c>
      <c r="C11" t="s">
        <v>18</v>
      </c>
      <c r="D11" t="s">
        <v>31</v>
      </c>
      <c r="E11">
        <v>1000</v>
      </c>
      <c r="F11">
        <v>18</v>
      </c>
      <c r="G11">
        <v>5</v>
      </c>
      <c r="H11">
        <v>167</v>
      </c>
      <c r="I11">
        <v>335</v>
      </c>
      <c r="J11">
        <v>344</v>
      </c>
      <c r="K11">
        <v>3.12</v>
      </c>
      <c r="L11">
        <v>0.27</v>
      </c>
      <c r="M11">
        <v>2.82</v>
      </c>
      <c r="N11">
        <v>2030</v>
      </c>
      <c r="O11">
        <v>18</v>
      </c>
      <c r="P11">
        <v>0.01</v>
      </c>
    </row>
    <row r="12" spans="1:16" x14ac:dyDescent="0.35">
      <c r="A12" t="s">
        <v>30</v>
      </c>
      <c r="B12" t="s">
        <v>17</v>
      </c>
      <c r="C12" t="s">
        <v>18</v>
      </c>
      <c r="D12" t="s">
        <v>32</v>
      </c>
      <c r="E12">
        <v>1000</v>
      </c>
      <c r="F12">
        <v>18</v>
      </c>
      <c r="G12">
        <v>4</v>
      </c>
      <c r="H12">
        <v>176</v>
      </c>
      <c r="I12">
        <v>331</v>
      </c>
      <c r="J12">
        <v>344</v>
      </c>
      <c r="K12">
        <v>2.9</v>
      </c>
      <c r="L12">
        <v>0.21</v>
      </c>
      <c r="M12">
        <v>2.65</v>
      </c>
      <c r="N12">
        <v>2105</v>
      </c>
      <c r="O12">
        <v>18</v>
      </c>
      <c r="P12">
        <v>0.02</v>
      </c>
    </row>
    <row r="13" spans="1:16" x14ac:dyDescent="0.35">
      <c r="A13" t="s">
        <v>30</v>
      </c>
      <c r="B13" t="s">
        <v>17</v>
      </c>
      <c r="C13" t="s">
        <v>18</v>
      </c>
      <c r="D13" t="s">
        <v>33</v>
      </c>
      <c r="E13">
        <v>1000</v>
      </c>
      <c r="F13">
        <v>18</v>
      </c>
      <c r="G13">
        <v>6</v>
      </c>
      <c r="H13">
        <v>168</v>
      </c>
      <c r="I13">
        <v>332</v>
      </c>
      <c r="J13">
        <v>338</v>
      </c>
      <c r="K13">
        <v>2.69</v>
      </c>
      <c r="L13">
        <v>0.21</v>
      </c>
      <c r="M13">
        <v>2.44</v>
      </c>
      <c r="N13">
        <v>2111</v>
      </c>
      <c r="O13">
        <v>18</v>
      </c>
      <c r="P13">
        <v>0.02</v>
      </c>
    </row>
    <row r="14" spans="1:16" x14ac:dyDescent="0.35">
      <c r="A14" t="s">
        <v>30</v>
      </c>
      <c r="B14" t="s">
        <v>17</v>
      </c>
      <c r="C14" t="s">
        <v>22</v>
      </c>
      <c r="D14" t="s">
        <v>34</v>
      </c>
      <c r="E14">
        <v>1000</v>
      </c>
      <c r="F14">
        <v>18</v>
      </c>
      <c r="G14">
        <v>3</v>
      </c>
      <c r="H14">
        <v>188</v>
      </c>
      <c r="I14">
        <v>351</v>
      </c>
      <c r="J14">
        <v>357</v>
      </c>
      <c r="K14">
        <v>2.78</v>
      </c>
      <c r="L14">
        <v>0.2</v>
      </c>
      <c r="M14">
        <v>2.5499999999999998</v>
      </c>
      <c r="N14">
        <v>2122</v>
      </c>
      <c r="O14">
        <v>18</v>
      </c>
      <c r="P14">
        <v>0.02</v>
      </c>
    </row>
    <row r="15" spans="1:16" x14ac:dyDescent="0.35">
      <c r="A15" t="s">
        <v>30</v>
      </c>
      <c r="B15" t="s">
        <v>17</v>
      </c>
      <c r="C15" t="s">
        <v>22</v>
      </c>
      <c r="D15" t="s">
        <v>35</v>
      </c>
      <c r="E15">
        <v>1000</v>
      </c>
      <c r="F15">
        <v>18</v>
      </c>
      <c r="G15">
        <v>3</v>
      </c>
      <c r="H15">
        <v>171</v>
      </c>
      <c r="I15">
        <v>351</v>
      </c>
      <c r="J15">
        <v>357</v>
      </c>
      <c r="K15">
        <v>2.5299999999999998</v>
      </c>
      <c r="L15">
        <v>0.22</v>
      </c>
      <c r="M15">
        <v>2.2799999999999998</v>
      </c>
      <c r="N15">
        <v>2063</v>
      </c>
      <c r="O15">
        <v>18</v>
      </c>
      <c r="P15">
        <v>0.01</v>
      </c>
    </row>
    <row r="16" spans="1:16" x14ac:dyDescent="0.35">
      <c r="A16" t="s">
        <v>30</v>
      </c>
      <c r="B16" t="s">
        <v>17</v>
      </c>
      <c r="C16" t="s">
        <v>22</v>
      </c>
      <c r="D16" t="s">
        <v>36</v>
      </c>
      <c r="E16">
        <v>1000</v>
      </c>
      <c r="F16">
        <v>18</v>
      </c>
      <c r="G16">
        <v>5</v>
      </c>
      <c r="H16">
        <v>167</v>
      </c>
      <c r="I16">
        <v>351</v>
      </c>
      <c r="J16">
        <v>355</v>
      </c>
      <c r="K16">
        <v>2.59</v>
      </c>
      <c r="L16">
        <v>0.22</v>
      </c>
      <c r="M16">
        <v>2.35</v>
      </c>
      <c r="N16">
        <v>2062</v>
      </c>
      <c r="O16">
        <v>18</v>
      </c>
      <c r="P16">
        <v>0.02</v>
      </c>
    </row>
    <row r="17" spans="1:16" x14ac:dyDescent="0.35">
      <c r="A17" t="s">
        <v>30</v>
      </c>
      <c r="B17" t="s">
        <v>17</v>
      </c>
      <c r="C17" t="s">
        <v>26</v>
      </c>
      <c r="D17" t="s">
        <v>37</v>
      </c>
      <c r="E17">
        <v>1000</v>
      </c>
      <c r="F17">
        <v>18</v>
      </c>
      <c r="G17">
        <v>4</v>
      </c>
      <c r="H17">
        <v>184</v>
      </c>
      <c r="I17">
        <v>244</v>
      </c>
      <c r="J17">
        <v>255</v>
      </c>
      <c r="K17">
        <v>3.06</v>
      </c>
      <c r="L17">
        <v>0.19</v>
      </c>
      <c r="M17">
        <v>2.83</v>
      </c>
      <c r="N17">
        <v>1599</v>
      </c>
      <c r="O17">
        <v>18</v>
      </c>
      <c r="P17">
        <v>0.01</v>
      </c>
    </row>
    <row r="18" spans="1:16" x14ac:dyDescent="0.35">
      <c r="A18" t="s">
        <v>30</v>
      </c>
      <c r="B18" t="s">
        <v>17</v>
      </c>
      <c r="C18" t="s">
        <v>26</v>
      </c>
      <c r="D18" t="s">
        <v>38</v>
      </c>
      <c r="E18">
        <v>1000</v>
      </c>
      <c r="F18">
        <v>18</v>
      </c>
      <c r="G18">
        <v>6</v>
      </c>
      <c r="H18">
        <v>161</v>
      </c>
      <c r="I18">
        <v>253</v>
      </c>
      <c r="J18">
        <v>258</v>
      </c>
      <c r="K18">
        <v>2.71</v>
      </c>
      <c r="L18">
        <v>0.21</v>
      </c>
      <c r="M18">
        <v>2.46</v>
      </c>
      <c r="N18">
        <v>1513</v>
      </c>
      <c r="O18">
        <v>18</v>
      </c>
      <c r="P18">
        <v>0.01</v>
      </c>
    </row>
    <row r="19" spans="1:16" x14ac:dyDescent="0.35">
      <c r="A19" t="s">
        <v>30</v>
      </c>
      <c r="B19" t="s">
        <v>17</v>
      </c>
      <c r="C19" t="s">
        <v>26</v>
      </c>
      <c r="D19" t="s">
        <v>39</v>
      </c>
      <c r="E19">
        <v>1000</v>
      </c>
      <c r="F19">
        <v>18</v>
      </c>
      <c r="G19">
        <v>6</v>
      </c>
      <c r="H19">
        <v>158</v>
      </c>
      <c r="I19">
        <v>244</v>
      </c>
      <c r="J19">
        <v>252</v>
      </c>
      <c r="K19">
        <v>2.66</v>
      </c>
      <c r="L19">
        <v>0.23</v>
      </c>
      <c r="M19">
        <v>2.39</v>
      </c>
      <c r="N19">
        <v>1456</v>
      </c>
      <c r="O19">
        <v>18</v>
      </c>
      <c r="P19">
        <v>0.01</v>
      </c>
    </row>
    <row r="20" spans="1:16" x14ac:dyDescent="0.35">
      <c r="A20" t="s">
        <v>40</v>
      </c>
      <c r="B20" t="s">
        <v>17</v>
      </c>
      <c r="C20" t="s">
        <v>18</v>
      </c>
      <c r="D20" t="s">
        <v>41</v>
      </c>
      <c r="E20">
        <v>1000</v>
      </c>
      <c r="F20">
        <v>67</v>
      </c>
      <c r="G20">
        <v>43</v>
      </c>
      <c r="H20">
        <v>214</v>
      </c>
      <c r="I20">
        <v>4106</v>
      </c>
      <c r="J20">
        <v>3721</v>
      </c>
      <c r="K20">
        <v>2.4</v>
      </c>
      <c r="L20">
        <v>0.18</v>
      </c>
      <c r="M20">
        <v>2.17</v>
      </c>
      <c r="N20">
        <v>4164</v>
      </c>
      <c r="O20">
        <v>21</v>
      </c>
      <c r="P20">
        <v>0.02</v>
      </c>
    </row>
    <row r="21" spans="1:16" x14ac:dyDescent="0.35">
      <c r="A21" t="s">
        <v>40</v>
      </c>
      <c r="B21" t="s">
        <v>17</v>
      </c>
      <c r="C21" t="s">
        <v>18</v>
      </c>
      <c r="D21" t="s">
        <v>42</v>
      </c>
      <c r="E21">
        <v>1000</v>
      </c>
      <c r="F21">
        <v>67</v>
      </c>
      <c r="G21">
        <v>42</v>
      </c>
      <c r="H21">
        <v>192</v>
      </c>
      <c r="I21">
        <v>4194</v>
      </c>
      <c r="J21">
        <v>3760</v>
      </c>
      <c r="K21">
        <v>2.6</v>
      </c>
      <c r="L21">
        <v>0.2</v>
      </c>
      <c r="M21">
        <v>2.34</v>
      </c>
      <c r="N21">
        <v>4358</v>
      </c>
      <c r="O21">
        <v>16</v>
      </c>
      <c r="P21">
        <v>0.02</v>
      </c>
    </row>
    <row r="22" spans="1:16" x14ac:dyDescent="0.35">
      <c r="A22" t="s">
        <v>40</v>
      </c>
      <c r="B22" t="s">
        <v>17</v>
      </c>
      <c r="C22" t="s">
        <v>18</v>
      </c>
      <c r="D22" t="s">
        <v>43</v>
      </c>
      <c r="E22">
        <v>1000</v>
      </c>
      <c r="F22">
        <v>67</v>
      </c>
      <c r="G22">
        <v>45</v>
      </c>
      <c r="H22">
        <v>181</v>
      </c>
      <c r="I22">
        <v>4124</v>
      </c>
      <c r="J22">
        <v>3712</v>
      </c>
      <c r="K22">
        <v>2.15</v>
      </c>
      <c r="L22">
        <v>0.17</v>
      </c>
      <c r="M22">
        <v>1.92</v>
      </c>
      <c r="N22">
        <v>4175</v>
      </c>
      <c r="O22">
        <v>13</v>
      </c>
      <c r="P22">
        <v>0.02</v>
      </c>
    </row>
    <row r="23" spans="1:16" x14ac:dyDescent="0.35">
      <c r="A23" t="s">
        <v>40</v>
      </c>
      <c r="B23" t="s">
        <v>17</v>
      </c>
      <c r="C23" t="s">
        <v>22</v>
      </c>
      <c r="D23" t="s">
        <v>44</v>
      </c>
      <c r="E23">
        <v>1000</v>
      </c>
      <c r="F23">
        <v>67</v>
      </c>
      <c r="G23">
        <v>35</v>
      </c>
      <c r="H23">
        <v>202</v>
      </c>
      <c r="I23">
        <v>4182</v>
      </c>
      <c r="J23">
        <v>3934</v>
      </c>
      <c r="K23">
        <v>1.8</v>
      </c>
      <c r="L23">
        <v>0.15</v>
      </c>
      <c r="M23">
        <v>1.61</v>
      </c>
      <c r="N23">
        <v>4320</v>
      </c>
      <c r="O23">
        <v>22</v>
      </c>
      <c r="P23">
        <v>0.01</v>
      </c>
    </row>
    <row r="24" spans="1:16" x14ac:dyDescent="0.35">
      <c r="A24" t="s">
        <v>40</v>
      </c>
      <c r="B24" t="s">
        <v>17</v>
      </c>
      <c r="C24" t="s">
        <v>22</v>
      </c>
      <c r="D24" t="s">
        <v>45</v>
      </c>
      <c r="E24">
        <v>1000</v>
      </c>
      <c r="F24">
        <v>67</v>
      </c>
      <c r="G24">
        <v>44</v>
      </c>
      <c r="H24">
        <v>180</v>
      </c>
      <c r="I24">
        <v>4249</v>
      </c>
      <c r="J24">
        <v>3988</v>
      </c>
      <c r="K24">
        <v>2.0299999999999998</v>
      </c>
      <c r="L24">
        <v>0.14000000000000001</v>
      </c>
      <c r="M24">
        <v>1.84</v>
      </c>
      <c r="N24">
        <v>4333</v>
      </c>
      <c r="O24">
        <v>28</v>
      </c>
      <c r="P24">
        <v>0.01</v>
      </c>
    </row>
    <row r="25" spans="1:16" x14ac:dyDescent="0.35">
      <c r="A25" t="s">
        <v>40</v>
      </c>
      <c r="B25" t="s">
        <v>17</v>
      </c>
      <c r="C25" t="s">
        <v>22</v>
      </c>
      <c r="D25" t="s">
        <v>46</v>
      </c>
      <c r="E25">
        <v>1000</v>
      </c>
      <c r="F25">
        <v>67</v>
      </c>
      <c r="G25">
        <v>57</v>
      </c>
      <c r="H25">
        <v>191</v>
      </c>
      <c r="I25">
        <v>4246</v>
      </c>
      <c r="J25">
        <v>3910</v>
      </c>
      <c r="K25">
        <v>1.98</v>
      </c>
      <c r="L25">
        <v>0.15</v>
      </c>
      <c r="M25">
        <v>1.78</v>
      </c>
      <c r="N25">
        <v>4254</v>
      </c>
      <c r="O25">
        <v>24</v>
      </c>
      <c r="P25">
        <v>0.01</v>
      </c>
    </row>
    <row r="26" spans="1:16" x14ac:dyDescent="0.35">
      <c r="A26" t="s">
        <v>40</v>
      </c>
      <c r="B26" t="s">
        <v>17</v>
      </c>
      <c r="C26" t="s">
        <v>26</v>
      </c>
      <c r="D26" t="s">
        <v>47</v>
      </c>
      <c r="E26">
        <v>1000</v>
      </c>
      <c r="F26">
        <v>67</v>
      </c>
      <c r="G26">
        <v>44</v>
      </c>
      <c r="H26">
        <v>189</v>
      </c>
      <c r="I26">
        <v>4988</v>
      </c>
      <c r="J26">
        <v>4516</v>
      </c>
      <c r="K26">
        <v>1.92</v>
      </c>
      <c r="L26">
        <v>0.16</v>
      </c>
      <c r="M26">
        <v>1.71</v>
      </c>
      <c r="N26">
        <v>5094</v>
      </c>
      <c r="O26">
        <v>29</v>
      </c>
      <c r="P26">
        <v>0.01</v>
      </c>
    </row>
    <row r="27" spans="1:16" x14ac:dyDescent="0.35">
      <c r="A27" t="s">
        <v>40</v>
      </c>
      <c r="B27" t="s">
        <v>17</v>
      </c>
      <c r="C27" t="s">
        <v>26</v>
      </c>
      <c r="D27" t="s">
        <v>48</v>
      </c>
      <c r="E27">
        <v>1000</v>
      </c>
      <c r="F27">
        <v>67</v>
      </c>
      <c r="G27">
        <v>34</v>
      </c>
      <c r="H27">
        <v>173</v>
      </c>
      <c r="I27">
        <v>4857</v>
      </c>
      <c r="J27">
        <v>4552</v>
      </c>
      <c r="K27">
        <v>1.88</v>
      </c>
      <c r="L27">
        <v>0.16</v>
      </c>
      <c r="M27">
        <v>1.68</v>
      </c>
      <c r="N27">
        <v>5026</v>
      </c>
      <c r="O27">
        <v>21</v>
      </c>
      <c r="P27">
        <v>0.01</v>
      </c>
    </row>
    <row r="28" spans="1:16" x14ac:dyDescent="0.35">
      <c r="A28" t="s">
        <v>40</v>
      </c>
      <c r="B28" t="s">
        <v>17</v>
      </c>
      <c r="C28" t="s">
        <v>26</v>
      </c>
      <c r="D28" t="s">
        <v>49</v>
      </c>
      <c r="E28">
        <v>1000</v>
      </c>
      <c r="F28">
        <v>67</v>
      </c>
      <c r="G28">
        <v>34</v>
      </c>
      <c r="H28">
        <v>213</v>
      </c>
      <c r="I28">
        <v>4754</v>
      </c>
      <c r="J28">
        <v>4554</v>
      </c>
      <c r="K28">
        <v>1.93</v>
      </c>
      <c r="L28">
        <v>0.14000000000000001</v>
      </c>
      <c r="M28">
        <v>1.76</v>
      </c>
      <c r="N28">
        <v>4957</v>
      </c>
      <c r="O28">
        <v>30</v>
      </c>
      <c r="P28">
        <v>0.02</v>
      </c>
    </row>
    <row r="29" spans="1:16" x14ac:dyDescent="0.35">
      <c r="A29" t="s">
        <v>50</v>
      </c>
      <c r="B29" t="s">
        <v>17</v>
      </c>
      <c r="C29" t="s">
        <v>18</v>
      </c>
      <c r="D29" t="s">
        <v>51</v>
      </c>
      <c r="E29">
        <v>1000</v>
      </c>
      <c r="F29">
        <v>67</v>
      </c>
      <c r="G29">
        <v>40</v>
      </c>
      <c r="H29">
        <v>191</v>
      </c>
      <c r="I29">
        <v>4200</v>
      </c>
      <c r="J29">
        <v>3869</v>
      </c>
      <c r="K29">
        <v>2.41</v>
      </c>
      <c r="L29">
        <v>0.2</v>
      </c>
      <c r="M29">
        <v>2.16</v>
      </c>
      <c r="N29">
        <v>4212</v>
      </c>
      <c r="O29">
        <v>19</v>
      </c>
      <c r="P29">
        <v>0.02</v>
      </c>
    </row>
    <row r="30" spans="1:16" x14ac:dyDescent="0.35">
      <c r="A30" t="s">
        <v>50</v>
      </c>
      <c r="B30" t="s">
        <v>17</v>
      </c>
      <c r="C30" t="s">
        <v>18</v>
      </c>
      <c r="D30" t="s">
        <v>52</v>
      </c>
      <c r="E30">
        <v>1000</v>
      </c>
      <c r="F30">
        <v>67</v>
      </c>
      <c r="G30">
        <v>52</v>
      </c>
      <c r="H30">
        <v>183</v>
      </c>
      <c r="I30">
        <v>4365</v>
      </c>
      <c r="J30">
        <v>3785</v>
      </c>
      <c r="K30">
        <v>2.72</v>
      </c>
      <c r="L30">
        <v>0.21</v>
      </c>
      <c r="M30">
        <v>2.4500000000000002</v>
      </c>
      <c r="N30">
        <v>4331</v>
      </c>
      <c r="O30">
        <v>13</v>
      </c>
      <c r="P30">
        <v>0.02</v>
      </c>
    </row>
    <row r="31" spans="1:16" x14ac:dyDescent="0.35">
      <c r="A31" t="s">
        <v>50</v>
      </c>
      <c r="B31" t="s">
        <v>17</v>
      </c>
      <c r="C31" t="s">
        <v>18</v>
      </c>
      <c r="D31" t="s">
        <v>53</v>
      </c>
      <c r="E31">
        <v>1000</v>
      </c>
      <c r="F31">
        <v>67</v>
      </c>
      <c r="G31">
        <v>54</v>
      </c>
      <c r="H31">
        <v>189</v>
      </c>
      <c r="I31">
        <v>4097</v>
      </c>
      <c r="J31">
        <v>3669</v>
      </c>
      <c r="K31">
        <v>2.15</v>
      </c>
      <c r="L31">
        <v>0.19</v>
      </c>
      <c r="M31">
        <v>1.94</v>
      </c>
      <c r="N31">
        <v>4089</v>
      </c>
      <c r="O31">
        <v>31</v>
      </c>
      <c r="P31">
        <v>0.03</v>
      </c>
    </row>
    <row r="32" spans="1:16" x14ac:dyDescent="0.35">
      <c r="A32" t="s">
        <v>50</v>
      </c>
      <c r="B32" t="s">
        <v>17</v>
      </c>
      <c r="C32" t="s">
        <v>22</v>
      </c>
      <c r="D32" t="s">
        <v>54</v>
      </c>
      <c r="E32">
        <v>1000</v>
      </c>
      <c r="F32">
        <v>67</v>
      </c>
      <c r="G32">
        <v>67</v>
      </c>
      <c r="H32">
        <v>173</v>
      </c>
      <c r="I32">
        <v>4188</v>
      </c>
      <c r="J32">
        <v>3803</v>
      </c>
      <c r="K32">
        <v>2.52</v>
      </c>
      <c r="L32">
        <v>0.23</v>
      </c>
      <c r="M32">
        <v>2.2599999999999998</v>
      </c>
      <c r="N32">
        <v>4262</v>
      </c>
      <c r="O32">
        <v>48</v>
      </c>
      <c r="P32">
        <v>0.01</v>
      </c>
    </row>
    <row r="33" spans="1:16" x14ac:dyDescent="0.35">
      <c r="A33" t="s">
        <v>50</v>
      </c>
      <c r="B33" t="s">
        <v>17</v>
      </c>
      <c r="C33" t="s">
        <v>22</v>
      </c>
      <c r="D33" t="s">
        <v>55</v>
      </c>
      <c r="E33">
        <v>1000</v>
      </c>
      <c r="F33">
        <v>67</v>
      </c>
      <c r="G33">
        <v>34</v>
      </c>
      <c r="H33">
        <v>171</v>
      </c>
      <c r="I33">
        <v>4265</v>
      </c>
      <c r="J33">
        <v>4077</v>
      </c>
      <c r="K33">
        <v>2.62</v>
      </c>
      <c r="L33">
        <v>0.19</v>
      </c>
      <c r="M33">
        <v>2.4</v>
      </c>
      <c r="N33">
        <v>4412</v>
      </c>
      <c r="O33">
        <v>44</v>
      </c>
      <c r="P33">
        <v>0.01</v>
      </c>
    </row>
    <row r="34" spans="1:16" x14ac:dyDescent="0.35">
      <c r="A34" t="s">
        <v>50</v>
      </c>
      <c r="B34" t="s">
        <v>17</v>
      </c>
      <c r="C34" t="s">
        <v>22</v>
      </c>
      <c r="D34" t="s">
        <v>56</v>
      </c>
      <c r="E34">
        <v>1000</v>
      </c>
      <c r="F34">
        <v>67</v>
      </c>
      <c r="G34">
        <v>35</v>
      </c>
      <c r="H34">
        <v>179</v>
      </c>
      <c r="I34">
        <v>4386</v>
      </c>
      <c r="J34">
        <v>4206</v>
      </c>
      <c r="K34">
        <v>2.79</v>
      </c>
      <c r="L34">
        <v>0.2</v>
      </c>
      <c r="M34">
        <v>2.56</v>
      </c>
      <c r="N34">
        <v>4401</v>
      </c>
      <c r="O34">
        <v>30</v>
      </c>
      <c r="P34">
        <v>0.01</v>
      </c>
    </row>
    <row r="35" spans="1:16" x14ac:dyDescent="0.35">
      <c r="A35" t="s">
        <v>50</v>
      </c>
      <c r="B35" t="s">
        <v>17</v>
      </c>
      <c r="C35" t="s">
        <v>26</v>
      </c>
      <c r="D35" t="s">
        <v>57</v>
      </c>
      <c r="E35">
        <v>1000</v>
      </c>
      <c r="F35">
        <v>67</v>
      </c>
      <c r="G35">
        <v>29</v>
      </c>
      <c r="H35">
        <v>179</v>
      </c>
      <c r="I35">
        <v>5199</v>
      </c>
      <c r="J35">
        <v>4917</v>
      </c>
      <c r="K35">
        <v>2.27</v>
      </c>
      <c r="L35">
        <v>0.2</v>
      </c>
      <c r="M35">
        <v>2.0499999999999998</v>
      </c>
      <c r="N35">
        <v>5252</v>
      </c>
      <c r="O35">
        <v>21</v>
      </c>
      <c r="P35">
        <v>0.01</v>
      </c>
    </row>
    <row r="36" spans="1:16" x14ac:dyDescent="0.35">
      <c r="A36" t="s">
        <v>50</v>
      </c>
      <c r="B36" t="s">
        <v>17</v>
      </c>
      <c r="C36" t="s">
        <v>26</v>
      </c>
      <c r="D36" t="s">
        <v>58</v>
      </c>
      <c r="E36">
        <v>1000</v>
      </c>
      <c r="F36">
        <v>67</v>
      </c>
      <c r="G36">
        <v>30</v>
      </c>
      <c r="H36">
        <v>155</v>
      </c>
      <c r="I36">
        <v>4948</v>
      </c>
      <c r="J36">
        <v>4493</v>
      </c>
      <c r="K36">
        <v>2.46</v>
      </c>
      <c r="L36">
        <v>0.19</v>
      </c>
      <c r="M36">
        <v>2.2400000000000002</v>
      </c>
      <c r="N36">
        <v>4949</v>
      </c>
      <c r="O36">
        <v>12</v>
      </c>
      <c r="P36">
        <v>0.01</v>
      </c>
    </row>
    <row r="37" spans="1:16" x14ac:dyDescent="0.35">
      <c r="A37" t="s">
        <v>50</v>
      </c>
      <c r="B37" t="s">
        <v>17</v>
      </c>
      <c r="C37" t="s">
        <v>26</v>
      </c>
      <c r="D37" t="s">
        <v>59</v>
      </c>
      <c r="E37">
        <v>1000</v>
      </c>
      <c r="F37">
        <v>67</v>
      </c>
      <c r="G37">
        <v>29</v>
      </c>
      <c r="H37">
        <v>172</v>
      </c>
      <c r="I37">
        <v>4600</v>
      </c>
      <c r="J37">
        <v>4333</v>
      </c>
      <c r="K37">
        <v>2.46</v>
      </c>
      <c r="L37">
        <v>0.2</v>
      </c>
      <c r="M37">
        <v>2.23</v>
      </c>
      <c r="N37">
        <v>4760</v>
      </c>
      <c r="O37">
        <v>21</v>
      </c>
      <c r="P37">
        <v>0.01</v>
      </c>
    </row>
  </sheetData>
  <autoFilter ref="A1:N37" xr:uid="{BFA01C2D-8728-4C43-AC9C-4C88E35D315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workbookViewId="0">
      <selection activeCell="A20" sqref="A20:M20"/>
    </sheetView>
  </sheetViews>
  <sheetFormatPr defaultRowHeight="14.5" x14ac:dyDescent="0.35"/>
  <cols>
    <col min="1" max="1" width="10.7265625" bestFit="1" customWidth="1"/>
    <col min="2" max="2" width="12.1796875" bestFit="1" customWidth="1"/>
    <col min="3" max="3" width="15" bestFit="1" customWidth="1"/>
    <col min="4" max="4" width="74.1796875" bestFit="1" customWidth="1"/>
    <col min="5" max="5" width="5" bestFit="1" customWidth="1"/>
    <col min="6" max="6" width="4.26953125" bestFit="1" customWidth="1"/>
    <col min="7" max="7" width="12" bestFit="1" customWidth="1"/>
    <col min="8" max="8" width="11.7265625" bestFit="1" customWidth="1"/>
    <col min="9" max="10" width="13.81640625" bestFit="1" customWidth="1"/>
    <col min="11" max="11" width="13.7265625" bestFit="1" customWidth="1"/>
    <col min="12" max="12" width="9.7265625" bestFit="1" customWidth="1"/>
    <col min="13" max="13" width="15.81640625" bestFit="1" customWidth="1"/>
    <col min="14" max="14" width="12.81640625" bestFit="1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>
        <v>1000</v>
      </c>
      <c r="F2">
        <v>18</v>
      </c>
      <c r="G2">
        <v>0</v>
      </c>
      <c r="H2">
        <v>206</v>
      </c>
      <c r="I2">
        <v>353</v>
      </c>
      <c r="J2">
        <v>128</v>
      </c>
      <c r="K2">
        <v>0.26</v>
      </c>
      <c r="L2">
        <v>0.04</v>
      </c>
      <c r="M2">
        <v>0.18</v>
      </c>
      <c r="N2">
        <v>2602</v>
      </c>
      <c r="O2">
        <v>18</v>
      </c>
      <c r="P2">
        <v>0.02</v>
      </c>
    </row>
    <row r="3" spans="1:16" x14ac:dyDescent="0.35">
      <c r="A3" t="s">
        <v>16</v>
      </c>
      <c r="B3" t="s">
        <v>17</v>
      </c>
      <c r="C3" t="s">
        <v>18</v>
      </c>
      <c r="D3" t="s">
        <v>20</v>
      </c>
      <c r="E3">
        <v>1000</v>
      </c>
      <c r="F3">
        <v>18</v>
      </c>
      <c r="G3">
        <v>3</v>
      </c>
      <c r="H3">
        <v>196</v>
      </c>
      <c r="I3">
        <v>289</v>
      </c>
      <c r="J3">
        <v>339</v>
      </c>
      <c r="K3">
        <v>0.22</v>
      </c>
      <c r="L3">
        <v>0.02</v>
      </c>
      <c r="M3">
        <v>0.16</v>
      </c>
      <c r="N3">
        <v>2602</v>
      </c>
      <c r="O3">
        <v>18</v>
      </c>
      <c r="P3">
        <v>0.02</v>
      </c>
    </row>
    <row r="4" spans="1:16" x14ac:dyDescent="0.35">
      <c r="A4" t="s">
        <v>16</v>
      </c>
      <c r="B4" t="s">
        <v>17</v>
      </c>
      <c r="C4" t="s">
        <v>18</v>
      </c>
      <c r="D4" t="s">
        <v>21</v>
      </c>
      <c r="E4">
        <v>1000</v>
      </c>
      <c r="F4">
        <v>18</v>
      </c>
      <c r="G4">
        <v>2</v>
      </c>
      <c r="H4">
        <v>208</v>
      </c>
      <c r="I4">
        <v>276</v>
      </c>
      <c r="J4">
        <v>220</v>
      </c>
      <c r="K4">
        <v>0.21</v>
      </c>
      <c r="L4">
        <v>0.03</v>
      </c>
      <c r="M4">
        <v>0.15</v>
      </c>
      <c r="N4">
        <v>2662</v>
      </c>
      <c r="O4">
        <v>18</v>
      </c>
      <c r="P4">
        <v>0.01</v>
      </c>
    </row>
    <row r="5" spans="1:16" x14ac:dyDescent="0.35">
      <c r="A5" t="s">
        <v>16</v>
      </c>
      <c r="B5" t="s">
        <v>17</v>
      </c>
      <c r="C5" t="s">
        <v>22</v>
      </c>
      <c r="D5" t="s">
        <v>23</v>
      </c>
      <c r="E5">
        <v>1000</v>
      </c>
      <c r="F5">
        <v>18</v>
      </c>
      <c r="G5">
        <v>4</v>
      </c>
      <c r="H5">
        <v>198</v>
      </c>
      <c r="I5">
        <v>314</v>
      </c>
      <c r="J5">
        <v>360</v>
      </c>
      <c r="K5">
        <v>0.27</v>
      </c>
      <c r="L5">
        <v>0.06</v>
      </c>
      <c r="M5">
        <v>0.17</v>
      </c>
      <c r="N5">
        <v>2644</v>
      </c>
      <c r="O5">
        <v>18</v>
      </c>
      <c r="P5">
        <v>0.01</v>
      </c>
    </row>
    <row r="6" spans="1:16" x14ac:dyDescent="0.35">
      <c r="A6" t="s">
        <v>16</v>
      </c>
      <c r="B6" t="s">
        <v>17</v>
      </c>
      <c r="C6" t="s">
        <v>22</v>
      </c>
      <c r="D6" t="s">
        <v>24</v>
      </c>
      <c r="E6">
        <v>1000</v>
      </c>
      <c r="F6">
        <v>18</v>
      </c>
      <c r="G6">
        <v>2</v>
      </c>
      <c r="H6">
        <v>174</v>
      </c>
      <c r="I6">
        <v>333</v>
      </c>
      <c r="J6">
        <v>387</v>
      </c>
      <c r="K6">
        <v>0.18</v>
      </c>
      <c r="L6">
        <v>0.02</v>
      </c>
      <c r="M6">
        <v>0.13</v>
      </c>
      <c r="N6">
        <v>2574</v>
      </c>
      <c r="O6">
        <v>18</v>
      </c>
      <c r="P6">
        <v>0.01</v>
      </c>
    </row>
    <row r="7" spans="1:16" x14ac:dyDescent="0.35">
      <c r="A7" t="s">
        <v>16</v>
      </c>
      <c r="B7" t="s">
        <v>17</v>
      </c>
      <c r="C7" t="s">
        <v>22</v>
      </c>
      <c r="D7" t="s">
        <v>25</v>
      </c>
      <c r="E7">
        <v>1000</v>
      </c>
      <c r="F7">
        <v>18</v>
      </c>
      <c r="G7">
        <v>1</v>
      </c>
      <c r="H7">
        <v>178</v>
      </c>
      <c r="I7">
        <v>293</v>
      </c>
      <c r="J7">
        <v>348</v>
      </c>
      <c r="K7">
        <v>0.19</v>
      </c>
      <c r="L7">
        <v>0.03</v>
      </c>
      <c r="M7">
        <v>0.13</v>
      </c>
      <c r="N7">
        <v>2544</v>
      </c>
      <c r="O7">
        <v>18</v>
      </c>
      <c r="P7">
        <v>0.01</v>
      </c>
    </row>
    <row r="8" spans="1:16" x14ac:dyDescent="0.35">
      <c r="A8" t="s">
        <v>16</v>
      </c>
      <c r="B8" t="s">
        <v>17</v>
      </c>
      <c r="C8" t="s">
        <v>26</v>
      </c>
      <c r="D8" t="s">
        <v>27</v>
      </c>
      <c r="E8">
        <v>1000</v>
      </c>
      <c r="F8">
        <v>18</v>
      </c>
      <c r="G8">
        <v>1</v>
      </c>
      <c r="H8">
        <v>183</v>
      </c>
      <c r="I8">
        <v>251</v>
      </c>
      <c r="J8">
        <v>270</v>
      </c>
      <c r="K8">
        <v>0.19</v>
      </c>
      <c r="L8">
        <v>0.02</v>
      </c>
      <c r="M8">
        <v>0.13</v>
      </c>
      <c r="N8">
        <v>2895</v>
      </c>
      <c r="O8">
        <v>18</v>
      </c>
      <c r="P8">
        <v>0.02</v>
      </c>
    </row>
    <row r="9" spans="1:16" x14ac:dyDescent="0.35">
      <c r="A9" t="s">
        <v>16</v>
      </c>
      <c r="B9" t="s">
        <v>17</v>
      </c>
      <c r="C9" t="s">
        <v>26</v>
      </c>
      <c r="D9" t="s">
        <v>28</v>
      </c>
      <c r="E9">
        <v>1000</v>
      </c>
      <c r="F9">
        <v>18</v>
      </c>
      <c r="G9">
        <v>1</v>
      </c>
      <c r="H9">
        <v>196</v>
      </c>
      <c r="I9">
        <v>243</v>
      </c>
      <c r="J9">
        <v>210</v>
      </c>
      <c r="K9">
        <v>0.21</v>
      </c>
      <c r="L9">
        <v>0.02</v>
      </c>
      <c r="M9">
        <v>0.15</v>
      </c>
      <c r="N9">
        <v>2810</v>
      </c>
      <c r="O9">
        <v>18</v>
      </c>
      <c r="P9">
        <v>0.01</v>
      </c>
    </row>
    <row r="10" spans="1:16" x14ac:dyDescent="0.35">
      <c r="A10" t="s">
        <v>16</v>
      </c>
      <c r="B10" t="s">
        <v>17</v>
      </c>
      <c r="C10" t="s">
        <v>26</v>
      </c>
      <c r="D10" t="s">
        <v>29</v>
      </c>
      <c r="E10">
        <v>1000</v>
      </c>
      <c r="F10">
        <v>18</v>
      </c>
      <c r="G10">
        <v>2</v>
      </c>
      <c r="H10">
        <v>166</v>
      </c>
      <c r="I10">
        <v>237</v>
      </c>
      <c r="J10">
        <v>227</v>
      </c>
      <c r="K10">
        <v>0.22</v>
      </c>
      <c r="L10">
        <v>0.04</v>
      </c>
      <c r="M10">
        <v>0.14000000000000001</v>
      </c>
      <c r="N10">
        <v>2688</v>
      </c>
      <c r="O10">
        <v>18</v>
      </c>
      <c r="P10">
        <v>0.01</v>
      </c>
    </row>
    <row r="11" spans="1:16" x14ac:dyDescent="0.35">
      <c r="A11" t="s">
        <v>30</v>
      </c>
      <c r="B11" t="s">
        <v>17</v>
      </c>
      <c r="C11" t="s">
        <v>18</v>
      </c>
      <c r="D11" t="s">
        <v>31</v>
      </c>
      <c r="E11">
        <v>1000</v>
      </c>
      <c r="F11">
        <v>18</v>
      </c>
      <c r="G11">
        <v>6</v>
      </c>
      <c r="H11">
        <v>167</v>
      </c>
      <c r="I11">
        <v>243</v>
      </c>
      <c r="J11">
        <v>277</v>
      </c>
      <c r="K11">
        <v>0.16</v>
      </c>
      <c r="L11">
        <v>0.03</v>
      </c>
      <c r="M11">
        <v>0.11</v>
      </c>
      <c r="N11">
        <v>2030</v>
      </c>
      <c r="O11">
        <v>18</v>
      </c>
      <c r="P11">
        <v>0.01</v>
      </c>
    </row>
    <row r="12" spans="1:16" x14ac:dyDescent="0.35">
      <c r="A12" t="s">
        <v>30</v>
      </c>
      <c r="B12" t="s">
        <v>17</v>
      </c>
      <c r="C12" t="s">
        <v>18</v>
      </c>
      <c r="D12" t="s">
        <v>32</v>
      </c>
      <c r="E12">
        <v>1000</v>
      </c>
      <c r="F12">
        <v>18</v>
      </c>
      <c r="G12">
        <v>7</v>
      </c>
      <c r="H12">
        <v>176</v>
      </c>
      <c r="I12">
        <v>236</v>
      </c>
      <c r="J12">
        <v>290</v>
      </c>
      <c r="K12">
        <v>0.2</v>
      </c>
      <c r="L12">
        <v>0.03</v>
      </c>
      <c r="M12">
        <v>0.14000000000000001</v>
      </c>
      <c r="N12">
        <v>2105</v>
      </c>
      <c r="O12">
        <v>18</v>
      </c>
      <c r="P12">
        <v>0.02</v>
      </c>
    </row>
    <row r="13" spans="1:16" x14ac:dyDescent="0.35">
      <c r="A13" t="s">
        <v>30</v>
      </c>
      <c r="B13" t="s">
        <v>17</v>
      </c>
      <c r="C13" t="s">
        <v>18</v>
      </c>
      <c r="D13" t="s">
        <v>33</v>
      </c>
      <c r="E13">
        <v>1000</v>
      </c>
      <c r="F13">
        <v>18</v>
      </c>
      <c r="G13">
        <v>5</v>
      </c>
      <c r="H13">
        <v>168</v>
      </c>
      <c r="I13">
        <v>264</v>
      </c>
      <c r="J13">
        <v>297</v>
      </c>
      <c r="K13">
        <v>0.15</v>
      </c>
      <c r="L13">
        <v>0.01</v>
      </c>
      <c r="M13">
        <v>0.11</v>
      </c>
      <c r="N13">
        <v>2111</v>
      </c>
      <c r="O13">
        <v>18</v>
      </c>
      <c r="P13">
        <v>0.01</v>
      </c>
    </row>
    <row r="14" spans="1:16" x14ac:dyDescent="0.35">
      <c r="A14" t="s">
        <v>30</v>
      </c>
      <c r="B14" t="s">
        <v>17</v>
      </c>
      <c r="C14" t="s">
        <v>22</v>
      </c>
      <c r="D14" t="s">
        <v>34</v>
      </c>
      <c r="E14">
        <v>1000</v>
      </c>
      <c r="F14">
        <v>18</v>
      </c>
      <c r="G14">
        <v>3</v>
      </c>
      <c r="H14">
        <v>188</v>
      </c>
      <c r="I14">
        <v>331</v>
      </c>
      <c r="J14">
        <v>354</v>
      </c>
      <c r="K14">
        <v>0.19</v>
      </c>
      <c r="L14">
        <v>0.02</v>
      </c>
      <c r="M14">
        <v>0.13</v>
      </c>
      <c r="N14">
        <v>2122</v>
      </c>
      <c r="O14">
        <v>18</v>
      </c>
      <c r="P14">
        <v>0.01</v>
      </c>
    </row>
    <row r="15" spans="1:16" x14ac:dyDescent="0.35">
      <c r="A15" t="s">
        <v>30</v>
      </c>
      <c r="B15" t="s">
        <v>17</v>
      </c>
      <c r="C15" t="s">
        <v>22</v>
      </c>
      <c r="D15" t="s">
        <v>35</v>
      </c>
      <c r="E15">
        <v>1000</v>
      </c>
      <c r="F15">
        <v>18</v>
      </c>
      <c r="G15">
        <v>5</v>
      </c>
      <c r="H15">
        <v>171</v>
      </c>
      <c r="I15">
        <v>324</v>
      </c>
      <c r="J15">
        <v>341</v>
      </c>
      <c r="K15">
        <v>0.15</v>
      </c>
      <c r="L15">
        <v>0.02</v>
      </c>
      <c r="M15">
        <v>0.1</v>
      </c>
      <c r="N15">
        <v>2063</v>
      </c>
      <c r="O15">
        <v>18</v>
      </c>
      <c r="P15">
        <v>0.01</v>
      </c>
    </row>
    <row r="16" spans="1:16" x14ac:dyDescent="0.35">
      <c r="A16" t="s">
        <v>30</v>
      </c>
      <c r="B16" t="s">
        <v>17</v>
      </c>
      <c r="C16" t="s">
        <v>22</v>
      </c>
      <c r="D16" t="s">
        <v>36</v>
      </c>
      <c r="E16">
        <v>1000</v>
      </c>
      <c r="F16">
        <v>18</v>
      </c>
      <c r="G16">
        <v>5</v>
      </c>
      <c r="H16">
        <v>167</v>
      </c>
      <c r="I16">
        <v>326</v>
      </c>
      <c r="J16">
        <v>343</v>
      </c>
      <c r="K16">
        <v>0.13</v>
      </c>
      <c r="L16">
        <v>0.02</v>
      </c>
      <c r="M16">
        <v>0.09</v>
      </c>
      <c r="N16">
        <v>2062</v>
      </c>
      <c r="O16">
        <v>18</v>
      </c>
      <c r="P16">
        <v>0.01</v>
      </c>
    </row>
    <row r="17" spans="1:16" x14ac:dyDescent="0.35">
      <c r="A17" t="s">
        <v>30</v>
      </c>
      <c r="B17" t="s">
        <v>17</v>
      </c>
      <c r="C17" t="s">
        <v>26</v>
      </c>
      <c r="D17" t="s">
        <v>37</v>
      </c>
      <c r="E17">
        <v>1000</v>
      </c>
      <c r="F17">
        <v>18</v>
      </c>
      <c r="G17">
        <v>0</v>
      </c>
      <c r="H17">
        <v>184</v>
      </c>
      <c r="I17">
        <v>213</v>
      </c>
      <c r="J17">
        <v>218</v>
      </c>
      <c r="K17">
        <v>0.14000000000000001</v>
      </c>
      <c r="L17">
        <v>0.03</v>
      </c>
      <c r="M17">
        <v>0.09</v>
      </c>
      <c r="N17">
        <v>1599</v>
      </c>
      <c r="O17">
        <v>18</v>
      </c>
      <c r="P17">
        <v>0.01</v>
      </c>
    </row>
    <row r="18" spans="1:16" x14ac:dyDescent="0.35">
      <c r="A18" t="s">
        <v>30</v>
      </c>
      <c r="B18" t="s">
        <v>17</v>
      </c>
      <c r="C18" t="s">
        <v>26</v>
      </c>
      <c r="D18" t="s">
        <v>38</v>
      </c>
      <c r="E18">
        <v>1000</v>
      </c>
      <c r="F18">
        <v>18</v>
      </c>
      <c r="G18">
        <v>3</v>
      </c>
      <c r="H18">
        <v>161</v>
      </c>
      <c r="I18">
        <v>226</v>
      </c>
      <c r="J18">
        <v>189</v>
      </c>
      <c r="K18">
        <v>0.13</v>
      </c>
      <c r="L18">
        <v>0.02</v>
      </c>
      <c r="M18">
        <v>0.09</v>
      </c>
      <c r="N18">
        <v>1513</v>
      </c>
      <c r="O18">
        <v>18</v>
      </c>
      <c r="P18">
        <v>0.01</v>
      </c>
    </row>
    <row r="19" spans="1:16" x14ac:dyDescent="0.35">
      <c r="A19" t="s">
        <v>30</v>
      </c>
      <c r="B19" t="s">
        <v>17</v>
      </c>
      <c r="C19" t="s">
        <v>26</v>
      </c>
      <c r="D19" t="s">
        <v>39</v>
      </c>
      <c r="E19">
        <v>1000</v>
      </c>
      <c r="F19">
        <v>18</v>
      </c>
      <c r="G19">
        <v>2</v>
      </c>
      <c r="H19">
        <v>158</v>
      </c>
      <c r="I19">
        <v>208</v>
      </c>
      <c r="J19">
        <v>218</v>
      </c>
      <c r="K19">
        <v>0.13</v>
      </c>
      <c r="L19">
        <v>0.02</v>
      </c>
      <c r="M19">
        <v>0.08</v>
      </c>
      <c r="N19">
        <v>1456</v>
      </c>
      <c r="O19">
        <v>18</v>
      </c>
      <c r="P19">
        <v>0.01</v>
      </c>
    </row>
    <row r="20" spans="1:16" x14ac:dyDescent="0.35">
      <c r="A20" t="s">
        <v>40</v>
      </c>
      <c r="B20" t="s">
        <v>17</v>
      </c>
      <c r="C20" t="s">
        <v>18</v>
      </c>
      <c r="D20" t="s">
        <v>41</v>
      </c>
      <c r="E20">
        <v>1000</v>
      </c>
      <c r="F20">
        <v>67</v>
      </c>
      <c r="G20">
        <v>36</v>
      </c>
      <c r="H20">
        <v>214</v>
      </c>
      <c r="I20">
        <v>4106</v>
      </c>
      <c r="J20">
        <v>2465</v>
      </c>
      <c r="K20">
        <v>0.18</v>
      </c>
      <c r="L20">
        <v>0.02</v>
      </c>
      <c r="M20">
        <v>0.11</v>
      </c>
      <c r="N20">
        <v>4164</v>
      </c>
      <c r="O20">
        <v>21</v>
      </c>
      <c r="P20">
        <v>0.02</v>
      </c>
    </row>
    <row r="21" spans="1:16" x14ac:dyDescent="0.35">
      <c r="A21" t="s">
        <v>40</v>
      </c>
      <c r="B21" t="s">
        <v>17</v>
      </c>
      <c r="C21" t="s">
        <v>18</v>
      </c>
      <c r="D21" t="s">
        <v>42</v>
      </c>
      <c r="E21">
        <v>1000</v>
      </c>
      <c r="F21">
        <v>67</v>
      </c>
      <c r="G21">
        <v>31</v>
      </c>
      <c r="H21">
        <v>192</v>
      </c>
      <c r="I21">
        <v>4194</v>
      </c>
      <c r="J21">
        <v>2571</v>
      </c>
      <c r="K21">
        <v>0.15</v>
      </c>
      <c r="L21">
        <v>0.02</v>
      </c>
      <c r="M21">
        <v>0.11</v>
      </c>
      <c r="N21">
        <v>4358</v>
      </c>
      <c r="O21">
        <v>16</v>
      </c>
      <c r="P21">
        <v>0.01</v>
      </c>
    </row>
    <row r="22" spans="1:16" x14ac:dyDescent="0.35">
      <c r="A22" t="s">
        <v>40</v>
      </c>
      <c r="B22" t="s">
        <v>17</v>
      </c>
      <c r="C22" t="s">
        <v>18</v>
      </c>
      <c r="D22" t="s">
        <v>43</v>
      </c>
      <c r="E22">
        <v>1000</v>
      </c>
      <c r="F22">
        <v>67</v>
      </c>
      <c r="G22">
        <v>39</v>
      </c>
      <c r="H22">
        <v>181</v>
      </c>
      <c r="I22">
        <v>4124</v>
      </c>
      <c r="J22">
        <v>2606</v>
      </c>
      <c r="K22">
        <v>0.15</v>
      </c>
      <c r="L22">
        <v>0.02</v>
      </c>
      <c r="M22">
        <v>0.09</v>
      </c>
      <c r="N22">
        <v>4175</v>
      </c>
      <c r="O22">
        <v>13</v>
      </c>
      <c r="P22">
        <v>0.01</v>
      </c>
    </row>
    <row r="23" spans="1:16" x14ac:dyDescent="0.35">
      <c r="A23" t="s">
        <v>40</v>
      </c>
      <c r="B23" t="s">
        <v>17</v>
      </c>
      <c r="C23" t="s">
        <v>22</v>
      </c>
      <c r="D23" t="s">
        <v>44</v>
      </c>
      <c r="E23">
        <v>1000</v>
      </c>
      <c r="F23">
        <v>67</v>
      </c>
      <c r="G23">
        <v>23</v>
      </c>
      <c r="H23">
        <v>202</v>
      </c>
      <c r="I23">
        <v>4182</v>
      </c>
      <c r="J23">
        <v>2790</v>
      </c>
      <c r="K23">
        <v>0.16</v>
      </c>
      <c r="L23">
        <v>0.02</v>
      </c>
      <c r="M23">
        <v>0.1</v>
      </c>
      <c r="N23">
        <v>4320</v>
      </c>
      <c r="O23">
        <v>22</v>
      </c>
      <c r="P23">
        <v>0.01</v>
      </c>
    </row>
    <row r="24" spans="1:16" x14ac:dyDescent="0.35">
      <c r="A24" t="s">
        <v>40</v>
      </c>
      <c r="B24" t="s">
        <v>17</v>
      </c>
      <c r="C24" t="s">
        <v>22</v>
      </c>
      <c r="D24" t="s">
        <v>45</v>
      </c>
      <c r="E24">
        <v>1000</v>
      </c>
      <c r="F24">
        <v>67</v>
      </c>
      <c r="G24">
        <v>34</v>
      </c>
      <c r="H24">
        <v>180</v>
      </c>
      <c r="I24">
        <v>4249</v>
      </c>
      <c r="J24">
        <v>2679</v>
      </c>
      <c r="K24">
        <v>0.15</v>
      </c>
      <c r="L24">
        <v>0.03</v>
      </c>
      <c r="M24">
        <v>0.09</v>
      </c>
      <c r="N24">
        <v>4333</v>
      </c>
      <c r="O24">
        <v>28</v>
      </c>
      <c r="P24">
        <v>0.01</v>
      </c>
    </row>
    <row r="25" spans="1:16" x14ac:dyDescent="0.35">
      <c r="A25" t="s">
        <v>40</v>
      </c>
      <c r="B25" t="s">
        <v>17</v>
      </c>
      <c r="C25" t="s">
        <v>22</v>
      </c>
      <c r="D25" t="s">
        <v>46</v>
      </c>
      <c r="E25">
        <v>1000</v>
      </c>
      <c r="F25">
        <v>67</v>
      </c>
      <c r="G25">
        <v>47</v>
      </c>
      <c r="H25">
        <v>191</v>
      </c>
      <c r="I25">
        <v>4246</v>
      </c>
      <c r="J25">
        <v>2939</v>
      </c>
      <c r="K25">
        <v>0.15</v>
      </c>
      <c r="L25">
        <v>0.02</v>
      </c>
      <c r="M25">
        <v>0.09</v>
      </c>
      <c r="N25">
        <v>4254</v>
      </c>
      <c r="O25">
        <v>24</v>
      </c>
      <c r="P25">
        <v>0.01</v>
      </c>
    </row>
    <row r="26" spans="1:16" x14ac:dyDescent="0.35">
      <c r="A26" t="s">
        <v>40</v>
      </c>
      <c r="B26" t="s">
        <v>17</v>
      </c>
      <c r="C26" t="s">
        <v>26</v>
      </c>
      <c r="D26" t="s">
        <v>47</v>
      </c>
      <c r="E26">
        <v>1000</v>
      </c>
      <c r="F26">
        <v>67</v>
      </c>
      <c r="G26">
        <v>40</v>
      </c>
      <c r="H26">
        <v>189</v>
      </c>
      <c r="I26">
        <v>4942</v>
      </c>
      <c r="J26">
        <v>3227</v>
      </c>
      <c r="K26">
        <v>0.14000000000000001</v>
      </c>
      <c r="L26">
        <v>0.02</v>
      </c>
      <c r="M26">
        <v>0.09</v>
      </c>
      <c r="N26">
        <v>5094</v>
      </c>
      <c r="O26">
        <v>29</v>
      </c>
      <c r="P26">
        <v>0.02</v>
      </c>
    </row>
    <row r="27" spans="1:16" x14ac:dyDescent="0.35">
      <c r="A27" t="s">
        <v>40</v>
      </c>
      <c r="B27" t="s">
        <v>17</v>
      </c>
      <c r="C27" t="s">
        <v>26</v>
      </c>
      <c r="D27" t="s">
        <v>48</v>
      </c>
      <c r="E27">
        <v>1000</v>
      </c>
      <c r="F27">
        <v>67</v>
      </c>
      <c r="G27">
        <v>25</v>
      </c>
      <c r="H27">
        <v>173</v>
      </c>
      <c r="I27">
        <v>4828</v>
      </c>
      <c r="J27">
        <v>2982</v>
      </c>
      <c r="K27">
        <v>0.15</v>
      </c>
      <c r="L27">
        <v>0.03</v>
      </c>
      <c r="M27">
        <v>0.09</v>
      </c>
      <c r="N27">
        <v>5026</v>
      </c>
      <c r="O27">
        <v>21</v>
      </c>
      <c r="P27">
        <v>0.01</v>
      </c>
    </row>
    <row r="28" spans="1:16" x14ac:dyDescent="0.35">
      <c r="A28" t="s">
        <v>40</v>
      </c>
      <c r="B28" t="s">
        <v>17</v>
      </c>
      <c r="C28" t="s">
        <v>26</v>
      </c>
      <c r="D28" t="s">
        <v>49</v>
      </c>
      <c r="E28">
        <v>1000</v>
      </c>
      <c r="F28">
        <v>67</v>
      </c>
      <c r="G28">
        <v>23</v>
      </c>
      <c r="H28">
        <v>213</v>
      </c>
      <c r="I28">
        <v>4711</v>
      </c>
      <c r="J28">
        <v>3123</v>
      </c>
      <c r="K28">
        <v>0.15</v>
      </c>
      <c r="L28">
        <v>0.02</v>
      </c>
      <c r="M28">
        <v>0.1</v>
      </c>
      <c r="N28">
        <v>4957</v>
      </c>
      <c r="O28">
        <v>30</v>
      </c>
      <c r="P28">
        <v>0.02</v>
      </c>
    </row>
    <row r="29" spans="1:16" x14ac:dyDescent="0.35">
      <c r="A29" t="s">
        <v>50</v>
      </c>
      <c r="B29" t="s">
        <v>17</v>
      </c>
      <c r="C29" t="s">
        <v>18</v>
      </c>
      <c r="D29" t="s">
        <v>51</v>
      </c>
      <c r="E29">
        <v>1000</v>
      </c>
      <c r="F29">
        <v>67</v>
      </c>
      <c r="G29">
        <v>16</v>
      </c>
      <c r="H29">
        <v>191</v>
      </c>
      <c r="I29">
        <v>4200</v>
      </c>
      <c r="J29">
        <v>1894</v>
      </c>
      <c r="K29">
        <v>0.13</v>
      </c>
      <c r="L29">
        <v>0.01</v>
      </c>
      <c r="M29">
        <v>0.09</v>
      </c>
      <c r="N29">
        <v>4212</v>
      </c>
      <c r="O29">
        <v>19</v>
      </c>
      <c r="P29">
        <v>0.02</v>
      </c>
    </row>
    <row r="30" spans="1:16" x14ac:dyDescent="0.35">
      <c r="A30" t="s">
        <v>50</v>
      </c>
      <c r="B30" t="s">
        <v>17</v>
      </c>
      <c r="C30" t="s">
        <v>18</v>
      </c>
      <c r="D30" t="s">
        <v>52</v>
      </c>
      <c r="E30">
        <v>1000</v>
      </c>
      <c r="F30">
        <v>67</v>
      </c>
      <c r="G30">
        <v>21</v>
      </c>
      <c r="H30">
        <v>183</v>
      </c>
      <c r="I30">
        <v>4365</v>
      </c>
      <c r="J30">
        <v>2043</v>
      </c>
      <c r="K30">
        <v>0.1</v>
      </c>
      <c r="L30">
        <v>0.02</v>
      </c>
      <c r="M30">
        <v>0.06</v>
      </c>
      <c r="N30">
        <v>4331</v>
      </c>
      <c r="O30">
        <v>13</v>
      </c>
      <c r="P30">
        <v>0.01</v>
      </c>
    </row>
    <row r="31" spans="1:16" x14ac:dyDescent="0.35">
      <c r="A31" t="s">
        <v>50</v>
      </c>
      <c r="B31" t="s">
        <v>17</v>
      </c>
      <c r="C31" t="s">
        <v>18</v>
      </c>
      <c r="D31" t="s">
        <v>53</v>
      </c>
      <c r="E31">
        <v>1000</v>
      </c>
      <c r="F31">
        <v>67</v>
      </c>
      <c r="G31">
        <v>36</v>
      </c>
      <c r="H31">
        <v>189</v>
      </c>
      <c r="I31">
        <v>4097</v>
      </c>
      <c r="J31">
        <v>1987</v>
      </c>
      <c r="K31">
        <v>0.1</v>
      </c>
      <c r="L31">
        <v>0.02</v>
      </c>
      <c r="M31">
        <v>0.06</v>
      </c>
      <c r="N31">
        <v>4089</v>
      </c>
      <c r="O31">
        <v>31</v>
      </c>
      <c r="P31">
        <v>0.02</v>
      </c>
    </row>
    <row r="32" spans="1:16" x14ac:dyDescent="0.35">
      <c r="A32" t="s">
        <v>50</v>
      </c>
      <c r="B32" t="s">
        <v>17</v>
      </c>
      <c r="C32" t="s">
        <v>22</v>
      </c>
      <c r="D32" t="s">
        <v>54</v>
      </c>
      <c r="E32">
        <v>1000</v>
      </c>
      <c r="F32">
        <v>67</v>
      </c>
      <c r="G32">
        <v>36</v>
      </c>
      <c r="H32">
        <v>173</v>
      </c>
      <c r="I32">
        <v>4188</v>
      </c>
      <c r="J32">
        <v>2248</v>
      </c>
      <c r="K32">
        <v>0.1</v>
      </c>
      <c r="L32">
        <v>0.01</v>
      </c>
      <c r="M32">
        <v>0.06</v>
      </c>
      <c r="N32">
        <v>4262</v>
      </c>
      <c r="O32">
        <v>48</v>
      </c>
      <c r="P32">
        <v>0.01</v>
      </c>
    </row>
    <row r="33" spans="1:16" x14ac:dyDescent="0.35">
      <c r="A33" t="s">
        <v>50</v>
      </c>
      <c r="B33" t="s">
        <v>17</v>
      </c>
      <c r="C33" t="s">
        <v>22</v>
      </c>
      <c r="D33" t="s">
        <v>55</v>
      </c>
      <c r="E33">
        <v>1000</v>
      </c>
      <c r="F33">
        <v>67</v>
      </c>
      <c r="G33">
        <v>22</v>
      </c>
      <c r="H33">
        <v>171</v>
      </c>
      <c r="I33">
        <v>4265</v>
      </c>
      <c r="J33">
        <v>2114</v>
      </c>
      <c r="K33">
        <v>0.1</v>
      </c>
      <c r="L33">
        <v>0.02</v>
      </c>
      <c r="M33">
        <v>0.06</v>
      </c>
      <c r="N33">
        <v>4412</v>
      </c>
      <c r="O33">
        <v>44</v>
      </c>
      <c r="P33">
        <v>0.01</v>
      </c>
    </row>
    <row r="34" spans="1:16" x14ac:dyDescent="0.35">
      <c r="A34" t="s">
        <v>50</v>
      </c>
      <c r="B34" t="s">
        <v>17</v>
      </c>
      <c r="C34" t="s">
        <v>22</v>
      </c>
      <c r="D34" t="s">
        <v>56</v>
      </c>
      <c r="E34">
        <v>1000</v>
      </c>
      <c r="F34">
        <v>67</v>
      </c>
      <c r="G34">
        <v>26</v>
      </c>
      <c r="H34">
        <v>179</v>
      </c>
      <c r="I34">
        <v>4386</v>
      </c>
      <c r="J34">
        <v>1813</v>
      </c>
      <c r="K34">
        <v>0.11</v>
      </c>
      <c r="L34">
        <v>0.02</v>
      </c>
      <c r="M34">
        <v>7.0000000000000007E-2</v>
      </c>
      <c r="N34">
        <v>4401</v>
      </c>
      <c r="O34">
        <v>30</v>
      </c>
      <c r="P34">
        <v>0.01</v>
      </c>
    </row>
    <row r="35" spans="1:16" x14ac:dyDescent="0.35">
      <c r="A35" t="s">
        <v>50</v>
      </c>
      <c r="B35" t="s">
        <v>17</v>
      </c>
      <c r="C35" t="s">
        <v>26</v>
      </c>
      <c r="D35" t="s">
        <v>57</v>
      </c>
      <c r="E35">
        <v>1000</v>
      </c>
      <c r="F35">
        <v>67</v>
      </c>
      <c r="G35">
        <v>24</v>
      </c>
      <c r="H35">
        <v>179</v>
      </c>
      <c r="I35">
        <v>5163</v>
      </c>
      <c r="J35">
        <v>2101</v>
      </c>
      <c r="K35">
        <v>0.1</v>
      </c>
      <c r="L35">
        <v>0.02</v>
      </c>
      <c r="M35">
        <v>0.06</v>
      </c>
      <c r="N35">
        <v>5252</v>
      </c>
      <c r="O35">
        <v>21</v>
      </c>
      <c r="P35">
        <v>0.01</v>
      </c>
    </row>
    <row r="36" spans="1:16" x14ac:dyDescent="0.35">
      <c r="A36" t="s">
        <v>50</v>
      </c>
      <c r="B36" t="s">
        <v>17</v>
      </c>
      <c r="C36" t="s">
        <v>26</v>
      </c>
      <c r="D36" t="s">
        <v>58</v>
      </c>
      <c r="E36">
        <v>1000</v>
      </c>
      <c r="F36">
        <v>67</v>
      </c>
      <c r="G36">
        <v>16</v>
      </c>
      <c r="H36">
        <v>155</v>
      </c>
      <c r="I36">
        <v>4913</v>
      </c>
      <c r="J36">
        <v>1873</v>
      </c>
      <c r="K36">
        <v>0.09</v>
      </c>
      <c r="L36">
        <v>0.02</v>
      </c>
      <c r="M36">
        <v>0.05</v>
      </c>
      <c r="N36">
        <v>4949</v>
      </c>
      <c r="O36">
        <v>12</v>
      </c>
      <c r="P36">
        <v>0.01</v>
      </c>
    </row>
    <row r="37" spans="1:16" x14ac:dyDescent="0.35">
      <c r="A37" t="s">
        <v>50</v>
      </c>
      <c r="B37" t="s">
        <v>17</v>
      </c>
      <c r="C37" t="s">
        <v>26</v>
      </c>
      <c r="D37" t="s">
        <v>59</v>
      </c>
      <c r="E37">
        <v>1000</v>
      </c>
      <c r="F37">
        <v>67</v>
      </c>
      <c r="G37">
        <v>19</v>
      </c>
      <c r="H37">
        <v>172</v>
      </c>
      <c r="I37">
        <v>4505</v>
      </c>
      <c r="J37">
        <v>1907</v>
      </c>
      <c r="K37">
        <v>0.09</v>
      </c>
      <c r="L37">
        <v>0.02</v>
      </c>
      <c r="M37">
        <v>0.05</v>
      </c>
      <c r="N37">
        <v>4760</v>
      </c>
      <c r="O37">
        <v>21</v>
      </c>
      <c r="P37">
        <v>0.01</v>
      </c>
    </row>
  </sheetData>
  <autoFilter ref="A1:N37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91E4-27A1-424F-BA5A-207DE5E63CF6}">
  <dimension ref="A1:P37"/>
  <sheetViews>
    <sheetView topLeftCell="A4" workbookViewId="0">
      <selection activeCell="D27" sqref="D27"/>
    </sheetView>
  </sheetViews>
  <sheetFormatPr defaultRowHeight="14.5" x14ac:dyDescent="0.35"/>
  <cols>
    <col min="1" max="1" width="10.7265625" bestFit="1" customWidth="1"/>
    <col min="2" max="2" width="12.1796875" bestFit="1" customWidth="1"/>
    <col min="3" max="3" width="15" bestFit="1" customWidth="1"/>
    <col min="4" max="4" width="74.1796875" bestFit="1" customWidth="1"/>
    <col min="5" max="5" width="5" bestFit="1" customWidth="1"/>
    <col min="6" max="6" width="4.26953125" bestFit="1" customWidth="1"/>
    <col min="7" max="7" width="12" bestFit="1" customWidth="1"/>
    <col min="8" max="8" width="11.7265625" bestFit="1" customWidth="1"/>
    <col min="9" max="10" width="13.81640625" bestFit="1" customWidth="1"/>
    <col min="11" max="11" width="13.7265625" bestFit="1" customWidth="1"/>
    <col min="12" max="12" width="9.7265625" bestFit="1" customWidth="1"/>
    <col min="13" max="13" width="15.81640625" bestFit="1" customWidth="1"/>
    <col min="14" max="14" width="12.81640625" bestFit="1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>
        <v>1000</v>
      </c>
      <c r="F2">
        <v>18</v>
      </c>
      <c r="G2">
        <v>7</v>
      </c>
      <c r="H2">
        <v>206</v>
      </c>
      <c r="I2">
        <v>353</v>
      </c>
      <c r="J2">
        <v>357</v>
      </c>
      <c r="K2">
        <v>1.32</v>
      </c>
      <c r="L2">
        <v>0.05</v>
      </c>
      <c r="M2">
        <v>1.23</v>
      </c>
      <c r="N2">
        <v>2602</v>
      </c>
      <c r="O2">
        <v>18</v>
      </c>
      <c r="P2">
        <v>0.02</v>
      </c>
    </row>
    <row r="3" spans="1:16" x14ac:dyDescent="0.35">
      <c r="A3" t="s">
        <v>16</v>
      </c>
      <c r="B3" t="s">
        <v>17</v>
      </c>
      <c r="C3" t="s">
        <v>18</v>
      </c>
      <c r="D3" t="s">
        <v>20</v>
      </c>
      <c r="E3">
        <v>1000</v>
      </c>
      <c r="F3">
        <v>18</v>
      </c>
      <c r="G3">
        <v>3</v>
      </c>
      <c r="H3">
        <v>196</v>
      </c>
      <c r="I3">
        <v>289</v>
      </c>
      <c r="J3">
        <v>339</v>
      </c>
      <c r="K3">
        <v>1.44</v>
      </c>
      <c r="L3">
        <v>0.05</v>
      </c>
      <c r="M3">
        <v>1.35</v>
      </c>
      <c r="N3">
        <v>2602</v>
      </c>
      <c r="O3">
        <v>18</v>
      </c>
      <c r="P3">
        <v>0.02</v>
      </c>
    </row>
    <row r="4" spans="1:16" x14ac:dyDescent="0.35">
      <c r="A4" t="s">
        <v>16</v>
      </c>
      <c r="B4" t="s">
        <v>17</v>
      </c>
      <c r="C4" t="s">
        <v>18</v>
      </c>
      <c r="D4" t="s">
        <v>21</v>
      </c>
      <c r="E4">
        <v>1000</v>
      </c>
      <c r="F4">
        <v>18</v>
      </c>
      <c r="G4">
        <v>5</v>
      </c>
      <c r="H4">
        <v>208</v>
      </c>
      <c r="I4">
        <v>276</v>
      </c>
      <c r="J4">
        <v>289</v>
      </c>
      <c r="K4">
        <v>1.63</v>
      </c>
      <c r="L4">
        <v>0.05</v>
      </c>
      <c r="M4">
        <v>1.53</v>
      </c>
      <c r="N4">
        <v>2662</v>
      </c>
      <c r="O4">
        <v>18</v>
      </c>
      <c r="P4">
        <v>0.01</v>
      </c>
    </row>
    <row r="5" spans="1:16" x14ac:dyDescent="0.35">
      <c r="A5" t="s">
        <v>16</v>
      </c>
      <c r="B5" t="s">
        <v>17</v>
      </c>
      <c r="C5" t="s">
        <v>22</v>
      </c>
      <c r="D5" t="s">
        <v>23</v>
      </c>
      <c r="E5">
        <v>1000</v>
      </c>
      <c r="F5">
        <v>18</v>
      </c>
      <c r="G5">
        <v>4</v>
      </c>
      <c r="H5">
        <v>198</v>
      </c>
      <c r="I5">
        <v>314</v>
      </c>
      <c r="J5">
        <v>360</v>
      </c>
      <c r="K5">
        <v>1.82</v>
      </c>
      <c r="L5">
        <v>0.05</v>
      </c>
      <c r="M5">
        <v>1.73</v>
      </c>
      <c r="N5">
        <v>2644</v>
      </c>
      <c r="O5">
        <v>18</v>
      </c>
      <c r="P5">
        <v>0.02</v>
      </c>
    </row>
    <row r="6" spans="1:16" x14ac:dyDescent="0.35">
      <c r="A6" t="s">
        <v>16</v>
      </c>
      <c r="B6" t="s">
        <v>17</v>
      </c>
      <c r="C6" t="s">
        <v>22</v>
      </c>
      <c r="D6" t="s">
        <v>24</v>
      </c>
      <c r="E6">
        <v>1000</v>
      </c>
      <c r="F6">
        <v>18</v>
      </c>
      <c r="G6">
        <v>2</v>
      </c>
      <c r="H6">
        <v>174</v>
      </c>
      <c r="I6">
        <v>333</v>
      </c>
      <c r="J6">
        <v>387</v>
      </c>
      <c r="K6">
        <v>1.32</v>
      </c>
      <c r="L6">
        <v>0.04</v>
      </c>
      <c r="M6">
        <v>1.23</v>
      </c>
      <c r="N6">
        <v>2574</v>
      </c>
      <c r="O6">
        <v>18</v>
      </c>
      <c r="P6">
        <v>0.02</v>
      </c>
    </row>
    <row r="7" spans="1:16" x14ac:dyDescent="0.35">
      <c r="A7" t="s">
        <v>16</v>
      </c>
      <c r="B7" t="s">
        <v>17</v>
      </c>
      <c r="C7" t="s">
        <v>22</v>
      </c>
      <c r="D7" t="s">
        <v>25</v>
      </c>
      <c r="E7">
        <v>1000</v>
      </c>
      <c r="F7">
        <v>18</v>
      </c>
      <c r="G7">
        <v>1</v>
      </c>
      <c r="H7">
        <v>178</v>
      </c>
      <c r="I7">
        <v>293</v>
      </c>
      <c r="J7">
        <v>348</v>
      </c>
      <c r="K7">
        <v>1.73</v>
      </c>
      <c r="L7">
        <v>0.05</v>
      </c>
      <c r="M7">
        <v>1.63</v>
      </c>
      <c r="N7">
        <v>2544</v>
      </c>
      <c r="O7">
        <v>18</v>
      </c>
      <c r="P7">
        <v>0.01</v>
      </c>
    </row>
    <row r="8" spans="1:16" x14ac:dyDescent="0.35">
      <c r="A8" t="s">
        <v>16</v>
      </c>
      <c r="B8" t="s">
        <v>17</v>
      </c>
      <c r="C8" t="s">
        <v>26</v>
      </c>
      <c r="D8" t="s">
        <v>27</v>
      </c>
      <c r="E8">
        <v>1000</v>
      </c>
      <c r="F8">
        <v>18</v>
      </c>
      <c r="G8">
        <v>1</v>
      </c>
      <c r="H8">
        <v>183</v>
      </c>
      <c r="I8">
        <v>251</v>
      </c>
      <c r="J8">
        <v>270</v>
      </c>
      <c r="K8">
        <v>1.45</v>
      </c>
      <c r="L8">
        <v>0.05</v>
      </c>
      <c r="M8">
        <v>1.37</v>
      </c>
      <c r="N8">
        <v>2895</v>
      </c>
      <c r="O8">
        <v>18</v>
      </c>
      <c r="P8">
        <v>0.02</v>
      </c>
    </row>
    <row r="9" spans="1:16" x14ac:dyDescent="0.35">
      <c r="A9" t="s">
        <v>16</v>
      </c>
      <c r="B9" t="s">
        <v>17</v>
      </c>
      <c r="C9" t="s">
        <v>26</v>
      </c>
      <c r="D9" t="s">
        <v>28</v>
      </c>
      <c r="E9">
        <v>1000</v>
      </c>
      <c r="F9">
        <v>18</v>
      </c>
      <c r="G9">
        <v>3</v>
      </c>
      <c r="H9">
        <v>196</v>
      </c>
      <c r="I9">
        <v>243</v>
      </c>
      <c r="J9">
        <v>254</v>
      </c>
      <c r="K9">
        <v>1.81</v>
      </c>
      <c r="L9">
        <v>0.06</v>
      </c>
      <c r="M9">
        <v>1.71</v>
      </c>
      <c r="N9">
        <v>2810</v>
      </c>
      <c r="O9">
        <v>18</v>
      </c>
      <c r="P9">
        <v>0.01</v>
      </c>
    </row>
    <row r="10" spans="1:16" x14ac:dyDescent="0.35">
      <c r="A10" t="s">
        <v>16</v>
      </c>
      <c r="B10" t="s">
        <v>17</v>
      </c>
      <c r="C10" t="s">
        <v>26</v>
      </c>
      <c r="D10" t="s">
        <v>29</v>
      </c>
      <c r="E10">
        <v>1000</v>
      </c>
      <c r="F10">
        <v>18</v>
      </c>
      <c r="G10">
        <v>3</v>
      </c>
      <c r="H10">
        <v>166</v>
      </c>
      <c r="I10">
        <v>237</v>
      </c>
      <c r="J10">
        <v>253</v>
      </c>
      <c r="K10">
        <v>1.9</v>
      </c>
      <c r="L10">
        <v>0.04</v>
      </c>
      <c r="M10">
        <v>1.82</v>
      </c>
      <c r="N10">
        <v>2688</v>
      </c>
      <c r="O10">
        <v>18</v>
      </c>
      <c r="P10">
        <v>0.01</v>
      </c>
    </row>
    <row r="11" spans="1:16" x14ac:dyDescent="0.35">
      <c r="A11" t="s">
        <v>30</v>
      </c>
      <c r="B11" t="s">
        <v>17</v>
      </c>
      <c r="C11" t="s">
        <v>18</v>
      </c>
      <c r="D11" t="s">
        <v>31</v>
      </c>
      <c r="E11">
        <v>1000</v>
      </c>
      <c r="F11">
        <v>18</v>
      </c>
      <c r="G11">
        <v>7</v>
      </c>
      <c r="H11">
        <v>167</v>
      </c>
      <c r="I11">
        <v>243</v>
      </c>
      <c r="J11">
        <v>300</v>
      </c>
      <c r="K11">
        <v>1.1100000000000001</v>
      </c>
      <c r="L11">
        <v>0.04</v>
      </c>
      <c r="M11">
        <v>1.03</v>
      </c>
      <c r="N11">
        <v>2030</v>
      </c>
      <c r="O11">
        <v>18</v>
      </c>
      <c r="P11">
        <v>0.01</v>
      </c>
    </row>
    <row r="12" spans="1:16" x14ac:dyDescent="0.35">
      <c r="A12" t="s">
        <v>30</v>
      </c>
      <c r="B12" t="s">
        <v>17</v>
      </c>
      <c r="C12" t="s">
        <v>18</v>
      </c>
      <c r="D12" t="s">
        <v>32</v>
      </c>
      <c r="E12">
        <v>1000</v>
      </c>
      <c r="F12">
        <v>18</v>
      </c>
      <c r="G12">
        <v>7</v>
      </c>
      <c r="H12">
        <v>176</v>
      </c>
      <c r="I12">
        <v>236</v>
      </c>
      <c r="J12">
        <v>290</v>
      </c>
      <c r="K12">
        <v>1.1000000000000001</v>
      </c>
      <c r="L12">
        <v>0.05</v>
      </c>
      <c r="M12">
        <v>1.02</v>
      </c>
      <c r="N12">
        <v>2105</v>
      </c>
      <c r="O12">
        <v>18</v>
      </c>
      <c r="P12">
        <v>0.02</v>
      </c>
    </row>
    <row r="13" spans="1:16" x14ac:dyDescent="0.35">
      <c r="A13" t="s">
        <v>30</v>
      </c>
      <c r="B13" t="s">
        <v>17</v>
      </c>
      <c r="C13" t="s">
        <v>18</v>
      </c>
      <c r="D13" t="s">
        <v>33</v>
      </c>
      <c r="E13">
        <v>1000</v>
      </c>
      <c r="F13">
        <v>18</v>
      </c>
      <c r="G13">
        <v>5</v>
      </c>
      <c r="H13">
        <v>168</v>
      </c>
      <c r="I13">
        <v>264</v>
      </c>
      <c r="J13">
        <v>297</v>
      </c>
      <c r="K13">
        <v>0.8</v>
      </c>
      <c r="L13">
        <v>0.04</v>
      </c>
      <c r="M13">
        <v>0.72</v>
      </c>
      <c r="N13">
        <v>2111</v>
      </c>
      <c r="O13">
        <v>18</v>
      </c>
      <c r="P13">
        <v>0.01</v>
      </c>
    </row>
    <row r="14" spans="1:16" x14ac:dyDescent="0.35">
      <c r="A14" t="s">
        <v>30</v>
      </c>
      <c r="B14" t="s">
        <v>17</v>
      </c>
      <c r="C14" t="s">
        <v>22</v>
      </c>
      <c r="D14" t="s">
        <v>34</v>
      </c>
      <c r="E14">
        <v>1000</v>
      </c>
      <c r="F14">
        <v>18</v>
      </c>
      <c r="G14">
        <v>3</v>
      </c>
      <c r="H14">
        <v>188</v>
      </c>
      <c r="I14">
        <v>331</v>
      </c>
      <c r="J14">
        <v>354</v>
      </c>
      <c r="K14">
        <v>1</v>
      </c>
      <c r="L14">
        <v>0.04</v>
      </c>
      <c r="M14">
        <v>0.93</v>
      </c>
      <c r="N14">
        <v>2122</v>
      </c>
      <c r="O14">
        <v>18</v>
      </c>
      <c r="P14">
        <v>0.01</v>
      </c>
    </row>
    <row r="15" spans="1:16" x14ac:dyDescent="0.35">
      <c r="A15" t="s">
        <v>30</v>
      </c>
      <c r="B15" t="s">
        <v>17</v>
      </c>
      <c r="C15" t="s">
        <v>22</v>
      </c>
      <c r="D15" t="s">
        <v>35</v>
      </c>
      <c r="E15">
        <v>1000</v>
      </c>
      <c r="F15">
        <v>18</v>
      </c>
      <c r="G15">
        <v>5</v>
      </c>
      <c r="H15">
        <v>171</v>
      </c>
      <c r="I15">
        <v>324</v>
      </c>
      <c r="J15">
        <v>341</v>
      </c>
      <c r="K15">
        <v>0.91</v>
      </c>
      <c r="L15">
        <v>0.04</v>
      </c>
      <c r="M15">
        <v>0.84</v>
      </c>
      <c r="N15">
        <v>2063</v>
      </c>
      <c r="O15">
        <v>18</v>
      </c>
      <c r="P15">
        <v>0.01</v>
      </c>
    </row>
    <row r="16" spans="1:16" x14ac:dyDescent="0.35">
      <c r="A16" t="s">
        <v>30</v>
      </c>
      <c r="B16" t="s">
        <v>17</v>
      </c>
      <c r="C16" t="s">
        <v>22</v>
      </c>
      <c r="D16" t="s">
        <v>36</v>
      </c>
      <c r="E16">
        <v>1000</v>
      </c>
      <c r="F16">
        <v>18</v>
      </c>
      <c r="G16">
        <v>5</v>
      </c>
      <c r="H16">
        <v>167</v>
      </c>
      <c r="I16">
        <v>326</v>
      </c>
      <c r="J16">
        <v>343</v>
      </c>
      <c r="K16">
        <v>0.92</v>
      </c>
      <c r="L16">
        <v>0.04</v>
      </c>
      <c r="M16">
        <v>0.85</v>
      </c>
      <c r="N16">
        <v>2062</v>
      </c>
      <c r="O16">
        <v>18</v>
      </c>
      <c r="P16">
        <v>0.01</v>
      </c>
    </row>
    <row r="17" spans="1:16" x14ac:dyDescent="0.35">
      <c r="A17" t="s">
        <v>30</v>
      </c>
      <c r="B17" t="s">
        <v>17</v>
      </c>
      <c r="C17" t="s">
        <v>26</v>
      </c>
      <c r="D17" t="s">
        <v>37</v>
      </c>
      <c r="E17">
        <v>1000</v>
      </c>
      <c r="F17">
        <v>18</v>
      </c>
      <c r="G17">
        <v>1</v>
      </c>
      <c r="H17">
        <v>184</v>
      </c>
      <c r="I17">
        <v>213</v>
      </c>
      <c r="J17">
        <v>241</v>
      </c>
      <c r="K17">
        <v>1.03</v>
      </c>
      <c r="L17">
        <v>0.04</v>
      </c>
      <c r="M17">
        <v>0.96</v>
      </c>
      <c r="N17">
        <v>1599</v>
      </c>
      <c r="O17">
        <v>18</v>
      </c>
      <c r="P17">
        <v>0.02</v>
      </c>
    </row>
    <row r="18" spans="1:16" x14ac:dyDescent="0.35">
      <c r="A18" t="s">
        <v>30</v>
      </c>
      <c r="B18" t="s">
        <v>17</v>
      </c>
      <c r="C18" t="s">
        <v>26</v>
      </c>
      <c r="D18" t="s">
        <v>38</v>
      </c>
      <c r="E18">
        <v>1000</v>
      </c>
      <c r="F18">
        <v>18</v>
      </c>
      <c r="G18">
        <v>5</v>
      </c>
      <c r="H18">
        <v>161</v>
      </c>
      <c r="I18">
        <v>226</v>
      </c>
      <c r="J18">
        <v>246</v>
      </c>
      <c r="K18">
        <v>1.05</v>
      </c>
      <c r="L18">
        <v>0.03</v>
      </c>
      <c r="M18">
        <v>0.99</v>
      </c>
      <c r="N18">
        <v>1513</v>
      </c>
      <c r="O18">
        <v>18</v>
      </c>
      <c r="P18">
        <v>0.01</v>
      </c>
    </row>
    <row r="19" spans="1:16" x14ac:dyDescent="0.35">
      <c r="A19" t="s">
        <v>30</v>
      </c>
      <c r="B19" t="s">
        <v>17</v>
      </c>
      <c r="C19" t="s">
        <v>26</v>
      </c>
      <c r="D19" t="s">
        <v>39</v>
      </c>
      <c r="E19">
        <v>1000</v>
      </c>
      <c r="F19">
        <v>18</v>
      </c>
      <c r="G19">
        <v>3</v>
      </c>
      <c r="H19">
        <v>158</v>
      </c>
      <c r="I19">
        <v>208</v>
      </c>
      <c r="J19">
        <v>238</v>
      </c>
      <c r="K19">
        <v>0.95</v>
      </c>
      <c r="L19">
        <v>0.03</v>
      </c>
      <c r="M19">
        <v>0.89</v>
      </c>
      <c r="N19">
        <v>1456</v>
      </c>
      <c r="O19">
        <v>18</v>
      </c>
      <c r="P19">
        <v>0.01</v>
      </c>
    </row>
    <row r="20" spans="1:16" x14ac:dyDescent="0.35">
      <c r="A20" t="s">
        <v>40</v>
      </c>
      <c r="B20" t="s">
        <v>17</v>
      </c>
      <c r="C20" t="s">
        <v>18</v>
      </c>
      <c r="D20" t="s">
        <v>41</v>
      </c>
      <c r="E20">
        <v>1000</v>
      </c>
      <c r="F20">
        <v>67</v>
      </c>
      <c r="G20">
        <v>43</v>
      </c>
      <c r="H20">
        <v>214</v>
      </c>
      <c r="I20">
        <v>4106</v>
      </c>
      <c r="J20">
        <v>3721</v>
      </c>
      <c r="K20">
        <v>1.63</v>
      </c>
      <c r="L20">
        <v>0.06</v>
      </c>
      <c r="M20">
        <v>1.54</v>
      </c>
      <c r="N20">
        <v>4164</v>
      </c>
      <c r="O20">
        <v>21</v>
      </c>
      <c r="P20">
        <v>0.02</v>
      </c>
    </row>
    <row r="21" spans="1:16" x14ac:dyDescent="0.35">
      <c r="A21" t="s">
        <v>40</v>
      </c>
      <c r="B21" t="s">
        <v>17</v>
      </c>
      <c r="C21" t="s">
        <v>18</v>
      </c>
      <c r="D21" t="s">
        <v>42</v>
      </c>
      <c r="E21">
        <v>1000</v>
      </c>
      <c r="F21">
        <v>67</v>
      </c>
      <c r="G21">
        <v>42</v>
      </c>
      <c r="H21">
        <v>192</v>
      </c>
      <c r="I21">
        <v>4194</v>
      </c>
      <c r="J21">
        <v>3760</v>
      </c>
      <c r="K21">
        <v>1.8</v>
      </c>
      <c r="L21">
        <v>0.04</v>
      </c>
      <c r="M21">
        <v>1.72</v>
      </c>
      <c r="N21">
        <v>4358</v>
      </c>
      <c r="O21">
        <v>16</v>
      </c>
      <c r="P21">
        <v>0.01</v>
      </c>
    </row>
    <row r="22" spans="1:16" x14ac:dyDescent="0.35">
      <c r="A22" t="s">
        <v>40</v>
      </c>
      <c r="B22" t="s">
        <v>17</v>
      </c>
      <c r="C22" t="s">
        <v>18</v>
      </c>
      <c r="D22" t="s">
        <v>43</v>
      </c>
      <c r="E22">
        <v>1000</v>
      </c>
      <c r="F22">
        <v>67</v>
      </c>
      <c r="G22">
        <v>45</v>
      </c>
      <c r="H22">
        <v>181</v>
      </c>
      <c r="I22">
        <v>4124</v>
      </c>
      <c r="J22">
        <v>3712</v>
      </c>
      <c r="K22">
        <v>1.91</v>
      </c>
      <c r="L22">
        <v>0.05</v>
      </c>
      <c r="M22">
        <v>1.82</v>
      </c>
      <c r="N22">
        <v>4175</v>
      </c>
      <c r="O22">
        <v>13</v>
      </c>
      <c r="P22">
        <v>0.01</v>
      </c>
    </row>
    <row r="23" spans="1:16" x14ac:dyDescent="0.35">
      <c r="A23" t="s">
        <v>40</v>
      </c>
      <c r="B23" t="s">
        <v>17</v>
      </c>
      <c r="C23" t="s">
        <v>22</v>
      </c>
      <c r="D23" t="s">
        <v>44</v>
      </c>
      <c r="E23">
        <v>1000</v>
      </c>
      <c r="F23">
        <v>67</v>
      </c>
      <c r="G23">
        <v>35</v>
      </c>
      <c r="H23">
        <v>202</v>
      </c>
      <c r="I23">
        <v>4182</v>
      </c>
      <c r="J23">
        <v>3934</v>
      </c>
      <c r="K23">
        <v>1.46</v>
      </c>
      <c r="L23">
        <v>0.04</v>
      </c>
      <c r="M23">
        <v>1.37</v>
      </c>
      <c r="N23">
        <v>4320</v>
      </c>
      <c r="O23">
        <v>22</v>
      </c>
      <c r="P23">
        <v>0.02</v>
      </c>
    </row>
    <row r="24" spans="1:16" x14ac:dyDescent="0.35">
      <c r="A24" t="s">
        <v>40</v>
      </c>
      <c r="B24" t="s">
        <v>17</v>
      </c>
      <c r="C24" t="s">
        <v>22</v>
      </c>
      <c r="D24" t="s">
        <v>45</v>
      </c>
      <c r="E24">
        <v>1000</v>
      </c>
      <c r="F24">
        <v>67</v>
      </c>
      <c r="G24">
        <v>44</v>
      </c>
      <c r="H24">
        <v>180</v>
      </c>
      <c r="I24">
        <v>4249</v>
      </c>
      <c r="J24">
        <v>3988</v>
      </c>
      <c r="K24">
        <v>1.79</v>
      </c>
      <c r="L24">
        <v>0.06</v>
      </c>
      <c r="M24">
        <v>1.69</v>
      </c>
      <c r="N24">
        <v>4333</v>
      </c>
      <c r="O24">
        <v>28</v>
      </c>
      <c r="P24">
        <v>0.01</v>
      </c>
    </row>
    <row r="25" spans="1:16" x14ac:dyDescent="0.35">
      <c r="A25" t="s">
        <v>40</v>
      </c>
      <c r="B25" t="s">
        <v>17</v>
      </c>
      <c r="C25" t="s">
        <v>22</v>
      </c>
      <c r="D25" t="s">
        <v>46</v>
      </c>
      <c r="E25">
        <v>1000</v>
      </c>
      <c r="F25">
        <v>67</v>
      </c>
      <c r="G25">
        <v>57</v>
      </c>
      <c r="H25">
        <v>191</v>
      </c>
      <c r="I25">
        <v>4246</v>
      </c>
      <c r="J25">
        <v>3910</v>
      </c>
      <c r="K25">
        <v>1.79</v>
      </c>
      <c r="L25">
        <v>0.04</v>
      </c>
      <c r="M25">
        <v>1.7</v>
      </c>
      <c r="N25">
        <v>4254</v>
      </c>
      <c r="O25">
        <v>24</v>
      </c>
      <c r="P25">
        <v>0.01</v>
      </c>
    </row>
    <row r="26" spans="1:16" x14ac:dyDescent="0.35">
      <c r="A26" t="s">
        <v>40</v>
      </c>
      <c r="B26" t="s">
        <v>17</v>
      </c>
      <c r="C26" t="s">
        <v>26</v>
      </c>
      <c r="D26" t="s">
        <v>47</v>
      </c>
      <c r="E26">
        <v>1000</v>
      </c>
      <c r="F26">
        <v>67</v>
      </c>
      <c r="G26">
        <v>45</v>
      </c>
      <c r="H26">
        <v>189</v>
      </c>
      <c r="I26">
        <v>4942</v>
      </c>
      <c r="J26">
        <v>4481</v>
      </c>
      <c r="K26">
        <v>1.97</v>
      </c>
      <c r="L26">
        <v>0.05</v>
      </c>
      <c r="M26">
        <v>1.89</v>
      </c>
      <c r="N26">
        <v>5094</v>
      </c>
      <c r="O26">
        <v>29</v>
      </c>
      <c r="P26">
        <v>0.01</v>
      </c>
    </row>
    <row r="27" spans="1:16" x14ac:dyDescent="0.35">
      <c r="A27" t="s">
        <v>40</v>
      </c>
      <c r="B27" t="s">
        <v>17</v>
      </c>
      <c r="C27" t="s">
        <v>26</v>
      </c>
      <c r="D27" t="s">
        <v>48</v>
      </c>
      <c r="E27">
        <v>1000</v>
      </c>
      <c r="F27">
        <v>67</v>
      </c>
      <c r="G27">
        <v>36</v>
      </c>
      <c r="H27">
        <v>173</v>
      </c>
      <c r="I27">
        <v>4828</v>
      </c>
      <c r="J27">
        <v>4524</v>
      </c>
      <c r="K27">
        <v>1.89</v>
      </c>
      <c r="L27">
        <v>0.05</v>
      </c>
      <c r="M27">
        <v>1.81</v>
      </c>
      <c r="N27">
        <v>5026</v>
      </c>
      <c r="O27">
        <v>21</v>
      </c>
      <c r="P27">
        <v>0.01</v>
      </c>
    </row>
    <row r="28" spans="1:16" x14ac:dyDescent="0.35">
      <c r="A28" t="s">
        <v>40</v>
      </c>
      <c r="B28" t="s">
        <v>17</v>
      </c>
      <c r="C28" t="s">
        <v>26</v>
      </c>
      <c r="D28" t="s">
        <v>49</v>
      </c>
      <c r="E28">
        <v>1000</v>
      </c>
      <c r="F28">
        <v>67</v>
      </c>
      <c r="G28">
        <v>34</v>
      </c>
      <c r="H28">
        <v>213</v>
      </c>
      <c r="I28">
        <v>4711</v>
      </c>
      <c r="J28">
        <v>4511</v>
      </c>
      <c r="K28">
        <v>1.56</v>
      </c>
      <c r="L28">
        <v>0.05</v>
      </c>
      <c r="M28">
        <v>1.47</v>
      </c>
      <c r="N28">
        <v>4957</v>
      </c>
      <c r="O28">
        <v>30</v>
      </c>
      <c r="P28">
        <v>0.02</v>
      </c>
    </row>
    <row r="29" spans="1:16" x14ac:dyDescent="0.35">
      <c r="A29" t="s">
        <v>50</v>
      </c>
      <c r="B29" t="s">
        <v>17</v>
      </c>
      <c r="C29" t="s">
        <v>18</v>
      </c>
      <c r="D29" t="s">
        <v>51</v>
      </c>
      <c r="E29">
        <v>1000</v>
      </c>
      <c r="F29">
        <v>67</v>
      </c>
      <c r="G29">
        <v>40</v>
      </c>
      <c r="H29">
        <v>191</v>
      </c>
      <c r="I29">
        <v>4200</v>
      </c>
      <c r="J29">
        <v>3869</v>
      </c>
      <c r="K29">
        <v>1.23</v>
      </c>
      <c r="L29">
        <v>0.04</v>
      </c>
      <c r="M29">
        <v>1.1599999999999999</v>
      </c>
      <c r="N29">
        <v>4212</v>
      </c>
      <c r="O29">
        <v>19</v>
      </c>
      <c r="P29">
        <v>0.02</v>
      </c>
    </row>
    <row r="30" spans="1:16" x14ac:dyDescent="0.35">
      <c r="A30" t="s">
        <v>50</v>
      </c>
      <c r="B30" t="s">
        <v>17</v>
      </c>
      <c r="C30" t="s">
        <v>18</v>
      </c>
      <c r="D30" t="s">
        <v>52</v>
      </c>
      <c r="E30">
        <v>1000</v>
      </c>
      <c r="F30">
        <v>67</v>
      </c>
      <c r="G30">
        <v>52</v>
      </c>
      <c r="H30">
        <v>183</v>
      </c>
      <c r="I30">
        <v>4365</v>
      </c>
      <c r="J30">
        <v>3785</v>
      </c>
      <c r="K30">
        <v>0.97</v>
      </c>
      <c r="L30">
        <v>0.04</v>
      </c>
      <c r="M30">
        <v>0.9</v>
      </c>
      <c r="N30">
        <v>4331</v>
      </c>
      <c r="O30">
        <v>13</v>
      </c>
      <c r="P30">
        <v>0.01</v>
      </c>
    </row>
    <row r="31" spans="1:16" x14ac:dyDescent="0.35">
      <c r="A31" t="s">
        <v>50</v>
      </c>
      <c r="B31" t="s">
        <v>17</v>
      </c>
      <c r="C31" t="s">
        <v>18</v>
      </c>
      <c r="D31" t="s">
        <v>53</v>
      </c>
      <c r="E31">
        <v>1000</v>
      </c>
      <c r="F31">
        <v>67</v>
      </c>
      <c r="G31">
        <v>54</v>
      </c>
      <c r="H31">
        <v>189</v>
      </c>
      <c r="I31">
        <v>4097</v>
      </c>
      <c r="J31">
        <v>3669</v>
      </c>
      <c r="K31">
        <v>0.91</v>
      </c>
      <c r="L31">
        <v>0.03</v>
      </c>
      <c r="M31">
        <v>0.85</v>
      </c>
      <c r="N31">
        <v>4089</v>
      </c>
      <c r="O31">
        <v>31</v>
      </c>
      <c r="P31">
        <v>0.03</v>
      </c>
    </row>
    <row r="32" spans="1:16" x14ac:dyDescent="0.35">
      <c r="A32" t="s">
        <v>50</v>
      </c>
      <c r="B32" t="s">
        <v>17</v>
      </c>
      <c r="C32" t="s">
        <v>22</v>
      </c>
      <c r="D32" t="s">
        <v>54</v>
      </c>
      <c r="E32">
        <v>1000</v>
      </c>
      <c r="F32">
        <v>67</v>
      </c>
      <c r="G32">
        <v>67</v>
      </c>
      <c r="H32">
        <v>173</v>
      </c>
      <c r="I32">
        <v>4188</v>
      </c>
      <c r="J32">
        <v>3803</v>
      </c>
      <c r="K32">
        <v>0.89</v>
      </c>
      <c r="L32">
        <v>0.03</v>
      </c>
      <c r="M32">
        <v>0.83</v>
      </c>
      <c r="N32">
        <v>4262</v>
      </c>
      <c r="O32">
        <v>48</v>
      </c>
      <c r="P32">
        <v>0.01</v>
      </c>
    </row>
    <row r="33" spans="1:16" x14ac:dyDescent="0.35">
      <c r="A33" t="s">
        <v>50</v>
      </c>
      <c r="B33" t="s">
        <v>17</v>
      </c>
      <c r="C33" t="s">
        <v>22</v>
      </c>
      <c r="D33" t="s">
        <v>55</v>
      </c>
      <c r="E33">
        <v>1000</v>
      </c>
      <c r="F33">
        <v>67</v>
      </c>
      <c r="G33">
        <v>34</v>
      </c>
      <c r="H33">
        <v>171</v>
      </c>
      <c r="I33">
        <v>4265</v>
      </c>
      <c r="J33">
        <v>4077</v>
      </c>
      <c r="K33">
        <v>1.19</v>
      </c>
      <c r="L33">
        <v>0.03</v>
      </c>
      <c r="M33">
        <v>1.1299999999999999</v>
      </c>
      <c r="N33">
        <v>4412</v>
      </c>
      <c r="O33">
        <v>44</v>
      </c>
      <c r="P33">
        <v>0.01</v>
      </c>
    </row>
    <row r="34" spans="1:16" x14ac:dyDescent="0.35">
      <c r="A34" t="s">
        <v>50</v>
      </c>
      <c r="B34" t="s">
        <v>17</v>
      </c>
      <c r="C34" t="s">
        <v>22</v>
      </c>
      <c r="D34" t="s">
        <v>56</v>
      </c>
      <c r="E34">
        <v>1000</v>
      </c>
      <c r="F34">
        <v>67</v>
      </c>
      <c r="G34">
        <v>35</v>
      </c>
      <c r="H34">
        <v>179</v>
      </c>
      <c r="I34">
        <v>4386</v>
      </c>
      <c r="J34">
        <v>4206</v>
      </c>
      <c r="K34">
        <v>1.1299999999999999</v>
      </c>
      <c r="L34">
        <v>0.03</v>
      </c>
      <c r="M34">
        <v>1.07</v>
      </c>
      <c r="N34">
        <v>4401</v>
      </c>
      <c r="O34">
        <v>30</v>
      </c>
      <c r="P34">
        <v>0.01</v>
      </c>
    </row>
    <row r="35" spans="1:16" x14ac:dyDescent="0.35">
      <c r="A35" t="s">
        <v>50</v>
      </c>
      <c r="B35" t="s">
        <v>17</v>
      </c>
      <c r="C35" t="s">
        <v>26</v>
      </c>
      <c r="D35" t="s">
        <v>57</v>
      </c>
      <c r="E35">
        <v>1000</v>
      </c>
      <c r="F35">
        <v>67</v>
      </c>
      <c r="G35">
        <v>27</v>
      </c>
      <c r="H35">
        <v>179</v>
      </c>
      <c r="I35">
        <v>5163</v>
      </c>
      <c r="J35">
        <v>4889</v>
      </c>
      <c r="K35">
        <v>1.5</v>
      </c>
      <c r="L35">
        <v>0.03</v>
      </c>
      <c r="M35">
        <v>1.44</v>
      </c>
      <c r="N35">
        <v>5252</v>
      </c>
      <c r="O35">
        <v>21</v>
      </c>
      <c r="P35">
        <v>0.01</v>
      </c>
    </row>
    <row r="36" spans="1:16" x14ac:dyDescent="0.35">
      <c r="A36" t="s">
        <v>50</v>
      </c>
      <c r="B36" t="s">
        <v>17</v>
      </c>
      <c r="C36" t="s">
        <v>26</v>
      </c>
      <c r="D36" t="s">
        <v>58</v>
      </c>
      <c r="E36">
        <v>1000</v>
      </c>
      <c r="F36">
        <v>67</v>
      </c>
      <c r="G36">
        <v>29</v>
      </c>
      <c r="H36">
        <v>155</v>
      </c>
      <c r="I36">
        <v>4913</v>
      </c>
      <c r="J36">
        <v>4459</v>
      </c>
      <c r="K36">
        <v>1.19</v>
      </c>
      <c r="L36">
        <v>0.04</v>
      </c>
      <c r="M36">
        <v>1.1299999999999999</v>
      </c>
      <c r="N36">
        <v>4949</v>
      </c>
      <c r="O36">
        <v>12</v>
      </c>
      <c r="P36">
        <v>0.01</v>
      </c>
    </row>
    <row r="37" spans="1:16" x14ac:dyDescent="0.35">
      <c r="A37" t="s">
        <v>50</v>
      </c>
      <c r="B37" t="s">
        <v>17</v>
      </c>
      <c r="C37" t="s">
        <v>26</v>
      </c>
      <c r="D37" t="s">
        <v>59</v>
      </c>
      <c r="E37">
        <v>1000</v>
      </c>
      <c r="F37">
        <v>67</v>
      </c>
      <c r="G37">
        <v>34</v>
      </c>
      <c r="H37">
        <v>172</v>
      </c>
      <c r="I37">
        <v>4505</v>
      </c>
      <c r="J37">
        <v>4169</v>
      </c>
      <c r="K37">
        <v>1.17</v>
      </c>
      <c r="L37">
        <v>0.06</v>
      </c>
      <c r="M37">
        <v>1.07</v>
      </c>
      <c r="N37">
        <v>4760</v>
      </c>
      <c r="O37">
        <v>21</v>
      </c>
      <c r="P37">
        <v>0.01</v>
      </c>
    </row>
  </sheetData>
  <autoFilter ref="A1:N37" xr:uid="{6D7A91E4-27A1-424F-BA5A-207DE5E63CF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0BCB-CAD9-4A83-9E68-D60B90F51E8E}">
  <dimension ref="A1:L34"/>
  <sheetViews>
    <sheetView tabSelected="1" topLeftCell="A16" zoomScale="57" workbookViewId="0">
      <selection activeCell="D19" activeCellId="1" sqref="H19:H24 D19:D24"/>
    </sheetView>
  </sheetViews>
  <sheetFormatPr defaultRowHeight="14.5" x14ac:dyDescent="0.35"/>
  <cols>
    <col min="1" max="2" width="21" customWidth="1"/>
    <col min="3" max="12" width="18.1796875" customWidth="1"/>
  </cols>
  <sheetData>
    <row r="1" spans="1:12" ht="18.5" x14ac:dyDescent="0.45">
      <c r="A1" s="2" t="s">
        <v>60</v>
      </c>
    </row>
    <row r="2" spans="1:12" x14ac:dyDescent="0.35">
      <c r="A2" s="3" t="s">
        <v>61</v>
      </c>
    </row>
    <row r="4" spans="1:12" ht="15.5" x14ac:dyDescent="0.35">
      <c r="A4" s="4" t="s">
        <v>62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35">
      <c r="A5" s="8"/>
      <c r="B5" s="8"/>
      <c r="C5" s="9" t="s">
        <v>63</v>
      </c>
      <c r="D5" s="18"/>
      <c r="E5" s="18"/>
      <c r="F5" s="9" t="s">
        <v>64</v>
      </c>
      <c r="G5" s="18"/>
      <c r="H5" s="18"/>
      <c r="I5" s="9" t="s">
        <v>65</v>
      </c>
      <c r="J5" s="18"/>
      <c r="K5" s="18"/>
      <c r="L5" s="9" t="s">
        <v>66</v>
      </c>
    </row>
    <row r="6" spans="1:12" x14ac:dyDescent="0.35">
      <c r="A6" s="8" t="s">
        <v>67</v>
      </c>
      <c r="B6" s="8" t="s">
        <v>68</v>
      </c>
      <c r="C6" s="9" t="s">
        <v>69</v>
      </c>
      <c r="D6" s="9" t="s">
        <v>70</v>
      </c>
      <c r="E6" s="9" t="s">
        <v>71</v>
      </c>
      <c r="F6" s="9" t="s">
        <v>69</v>
      </c>
      <c r="G6" s="9" t="s">
        <v>70</v>
      </c>
      <c r="H6" s="9" t="s">
        <v>71</v>
      </c>
      <c r="I6" s="9" t="s">
        <v>69</v>
      </c>
      <c r="J6" s="9" t="s">
        <v>70</v>
      </c>
      <c r="K6" s="9" t="s">
        <v>71</v>
      </c>
      <c r="L6" s="9" t="s">
        <v>73</v>
      </c>
    </row>
    <row r="7" spans="1:12" x14ac:dyDescent="0.35">
      <c r="A7" s="10" t="s">
        <v>74</v>
      </c>
      <c r="B7" s="10" t="s">
        <v>18</v>
      </c>
      <c r="C7" s="11">
        <f>AVERAGEIFS(heur_norm_A!K:K,heur_norm_A!A:A,A7,heur_norm_A!C:C,B7)</f>
        <v>2.3833333333333333</v>
      </c>
      <c r="D7" s="11">
        <f>AVERAGEIFS(heur_norm_A!L:L,heur_norm_A!A:A,A7,heur_norm_A!C:C,B7)</f>
        <v>0.18333333333333335</v>
      </c>
      <c r="E7" s="11">
        <f>AVERAGEIFS(heur_norm_A!M:M,heur_norm_A!A:A,A7,heur_norm_A!C:C,B7)</f>
        <v>2.1433333333333331</v>
      </c>
      <c r="F7" s="12">
        <f>AVERAGEIFS(heur_A_greedy!K:K,heur_A_greedy!A:A,A7,heur_A_greedy!C:C,B7)</f>
        <v>0.16</v>
      </c>
      <c r="G7" s="12">
        <f>AVERAGEIFS(heur_A_greedy!L:L,heur_A_greedy!A:A,A7,heur_A_greedy!C:C,B7)</f>
        <v>0.02</v>
      </c>
      <c r="H7" s="12">
        <f>AVERAGEIFS(heur_A_greedy!M:M,heur_A_greedy!A:A,A7,heur_A_greedy!C:C,B7)</f>
        <v>0.10333333333333333</v>
      </c>
      <c r="I7" s="12">
        <f>AVERAGEIFS(heur_A_dp!K:K,heur_A_dp!A:A,A7,heur_A_dp!C:C,B7)</f>
        <v>1.78</v>
      </c>
      <c r="J7" s="12">
        <f>AVERAGEIFS(heur_A_dp!L:L,heur_A_dp!A:A,A7,heur_A_dp!C:C,B7)</f>
        <v>5.000000000000001E-2</v>
      </c>
      <c r="K7" s="12">
        <f>AVERAGEIFS(heur_A_dp!M:M,heur_A_dp!A:A,A7,heur_A_dp!C:C,B7)</f>
        <v>1.6933333333333334</v>
      </c>
      <c r="L7" s="12">
        <f>AVERAGEIFS(heur_norm_A!P:P,heur_norm_A!A:A,A7,heur_norm_A!C:C,B7)</f>
        <v>0.02</v>
      </c>
    </row>
    <row r="8" spans="1:12" x14ac:dyDescent="0.35">
      <c r="A8" s="10" t="s">
        <v>74</v>
      </c>
      <c r="B8" s="10" t="s">
        <v>22</v>
      </c>
      <c r="C8" s="11">
        <f>AVERAGEIFS(heur_norm_A!K:K,heur_norm_A!A:A,A8,heur_norm_A!C:C,B8)</f>
        <v>1.9366666666666668</v>
      </c>
      <c r="D8" s="11">
        <f>AVERAGEIFS(heur_norm_A!L:L,heur_norm_A!A:A,A8,heur_norm_A!C:C,B8)</f>
        <v>0.1466666666666667</v>
      </c>
      <c r="E8" s="11">
        <f>AVERAGEIFS(heur_norm_A!M:M,heur_norm_A!A:A,A8,heur_norm_A!C:C,B8)</f>
        <v>1.7433333333333334</v>
      </c>
      <c r="F8" s="12">
        <f>AVERAGEIFS(heur_A_greedy!K:K,heur_A_greedy!A:A,A8,heur_A_greedy!C:C,B8)</f>
        <v>0.15333333333333332</v>
      </c>
      <c r="G8" s="12">
        <f>AVERAGEIFS(heur_A_greedy!L:L,heur_A_greedy!A:A,A8,heur_A_greedy!C:C,B8)</f>
        <v>2.3333333333333334E-2</v>
      </c>
      <c r="H8" s="12">
        <f>AVERAGEIFS(heur_A_greedy!M:M,heur_A_greedy!A:A,A8,heur_A_greedy!C:C,B8)</f>
        <v>9.3333333333333338E-2</v>
      </c>
      <c r="I8" s="12">
        <f>AVERAGEIFS(heur_A_dp!K:K,heur_A_dp!A:A,A8,heur_A_dp!C:C,B8)</f>
        <v>1.68</v>
      </c>
      <c r="J8" s="12">
        <f>AVERAGEIFS(heur_A_dp!L:L,heur_A_dp!A:A,A8,heur_A_dp!C:C,B8)</f>
        <v>4.6666666666666669E-2</v>
      </c>
      <c r="K8" s="12">
        <f>AVERAGEIFS(heur_A_dp!M:M,heur_A_dp!A:A,A8,heur_A_dp!C:C,B8)</f>
        <v>1.5866666666666667</v>
      </c>
      <c r="L8" s="12">
        <f>AVERAGEIFS(heur_norm_A!P:P,heur_norm_A!A:A,A8,heur_norm_A!C:C,B8)</f>
        <v>0.01</v>
      </c>
    </row>
    <row r="9" spans="1:12" x14ac:dyDescent="0.35">
      <c r="A9" s="10" t="s">
        <v>74</v>
      </c>
      <c r="B9" s="10" t="s">
        <v>26</v>
      </c>
      <c r="C9" s="11">
        <f>AVERAGEIFS(heur_norm_A!K:K,heur_norm_A!A:A,A9,heur_norm_A!C:C,B9)</f>
        <v>1.91</v>
      </c>
      <c r="D9" s="11">
        <f>AVERAGEIFS(heur_norm_A!L:L,heur_norm_A!A:A,A9,heur_norm_A!C:C,B9)</f>
        <v>0.15333333333333335</v>
      </c>
      <c r="E9" s="11">
        <f>AVERAGEIFS(heur_norm_A!M:M,heur_norm_A!A:A,A9,heur_norm_A!C:C,B9)</f>
        <v>1.7166666666666666</v>
      </c>
      <c r="F9" s="12">
        <f>AVERAGEIFS(heur_A_greedy!K:K,heur_A_greedy!A:A,A9,heur_A_greedy!C:C,B9)</f>
        <v>0.1466666666666667</v>
      </c>
      <c r="G9" s="12">
        <f>AVERAGEIFS(heur_A_greedy!L:L,heur_A_greedy!A:A,A9,heur_A_greedy!C:C,B9)</f>
        <v>2.3333333333333334E-2</v>
      </c>
      <c r="H9" s="12">
        <f>AVERAGEIFS(heur_A_greedy!M:M,heur_A_greedy!A:A,A9,heur_A_greedy!C:C,B9)</f>
        <v>9.3333333333333338E-2</v>
      </c>
      <c r="I9" s="12">
        <f>AVERAGEIFS(heur_A_dp!K:K,heur_A_dp!A:A,A9,heur_A_dp!C:C,B9)</f>
        <v>1.8066666666666666</v>
      </c>
      <c r="J9" s="12">
        <f>AVERAGEIFS(heur_A_dp!L:L,heur_A_dp!A:A,A9,heur_A_dp!C:C,B9)</f>
        <v>5.000000000000001E-2</v>
      </c>
      <c r="K9" s="12">
        <f>AVERAGEIFS(heur_A_dp!M:M,heur_A_dp!A:A,A9,heur_A_dp!C:C,B9)</f>
        <v>1.7233333333333334</v>
      </c>
      <c r="L9" s="12">
        <f>AVERAGEIFS(heur_norm_A!P:P,heur_norm_A!A:A,A9,heur_norm_A!C:C,B9)</f>
        <v>1.3333333333333334E-2</v>
      </c>
    </row>
    <row r="10" spans="1:12" x14ac:dyDescent="0.35">
      <c r="A10" s="10" t="s">
        <v>75</v>
      </c>
      <c r="B10" s="10" t="s">
        <v>18</v>
      </c>
      <c r="C10" s="11">
        <f>AVERAGEIFS(heur_norm_A!K:K,heur_norm_A!A:A,A10,heur_norm_A!C:C,B10)</f>
        <v>2.4266666666666672</v>
      </c>
      <c r="D10" s="11">
        <f>AVERAGEIFS(heur_norm_A!L:L,heur_norm_A!A:A,A10,heur_norm_A!C:C,B10)</f>
        <v>0.20000000000000004</v>
      </c>
      <c r="E10" s="11">
        <f>AVERAGEIFS(heur_norm_A!M:M,heur_norm_A!A:A,A10,heur_norm_A!C:C,B10)</f>
        <v>2.1833333333333336</v>
      </c>
      <c r="F10" s="12">
        <f>AVERAGEIFS(heur_A_greedy!K:K,heur_A_greedy!A:A,A10,heur_A_greedy!C:C,B10)</f>
        <v>0.11</v>
      </c>
      <c r="G10" s="12">
        <f>AVERAGEIFS(heur_A_greedy!L:L,heur_A_greedy!A:A,A10,heur_A_greedy!C:C,B10)</f>
        <v>1.6666666666666666E-2</v>
      </c>
      <c r="H10" s="12">
        <f>AVERAGEIFS(heur_A_greedy!M:M,heur_A_greedy!A:A,A10,heur_A_greedy!C:C,B10)</f>
        <v>6.9999999999999993E-2</v>
      </c>
      <c r="I10" s="12">
        <f>AVERAGEIFS(heur_A_dp!K:K,heur_A_dp!A:A,A10,heur_A_dp!C:C,B10)</f>
        <v>1.0366666666666668</v>
      </c>
      <c r="J10" s="12">
        <f>AVERAGEIFS(heur_A_dp!L:L,heur_A_dp!A:A,A10,heur_A_dp!C:C,B10)</f>
        <v>3.6666666666666667E-2</v>
      </c>
      <c r="K10" s="12">
        <f>AVERAGEIFS(heur_A_dp!M:M,heur_A_dp!A:A,A10,heur_A_dp!C:C,B10)</f>
        <v>0.97000000000000008</v>
      </c>
      <c r="L10" s="12">
        <f>AVERAGEIFS(heur_norm_A!P:P,heur_norm_A!A:A,A10,heur_norm_A!C:C,B10)</f>
        <v>2.3333333333333334E-2</v>
      </c>
    </row>
    <row r="11" spans="1:12" x14ac:dyDescent="0.35">
      <c r="A11" s="10" t="s">
        <v>75</v>
      </c>
      <c r="B11" s="10" t="s">
        <v>22</v>
      </c>
      <c r="C11" s="11">
        <f>AVERAGEIFS(heur_norm_A!K:K,heur_norm_A!A:A,A11,heur_norm_A!C:C,B11)</f>
        <v>2.6433333333333335</v>
      </c>
      <c r="D11" s="11">
        <f>AVERAGEIFS(heur_norm_A!L:L,heur_norm_A!A:A,A11,heur_norm_A!C:C,B11)</f>
        <v>0.20666666666666669</v>
      </c>
      <c r="E11" s="11">
        <f>AVERAGEIFS(heur_norm_A!M:M,heur_norm_A!A:A,A11,heur_norm_A!C:C,B11)</f>
        <v>2.4066666666666667</v>
      </c>
      <c r="F11" s="12">
        <f>AVERAGEIFS(heur_A_greedy!K:K,heur_A_greedy!A:A,A11,heur_A_greedy!C:C,B11)</f>
        <v>0.10333333333333333</v>
      </c>
      <c r="G11" s="12">
        <f>AVERAGEIFS(heur_A_greedy!L:L,heur_A_greedy!A:A,A11,heur_A_greedy!C:C,B11)</f>
        <v>1.6666666666666666E-2</v>
      </c>
      <c r="H11" s="12">
        <f>AVERAGEIFS(heur_A_greedy!M:M,heur_A_greedy!A:A,A11,heur_A_greedy!C:C,B11)</f>
        <v>6.3333333333333339E-2</v>
      </c>
      <c r="I11" s="12">
        <f>AVERAGEIFS(heur_A_dp!K:K,heur_A_dp!A:A,A11,heur_A_dp!C:C,B11)</f>
        <v>1.07</v>
      </c>
      <c r="J11" s="12">
        <f>AVERAGEIFS(heur_A_dp!L:L,heur_A_dp!A:A,A11,heur_A_dp!C:C,B11)</f>
        <v>0.03</v>
      </c>
      <c r="K11" s="12">
        <f>AVERAGEIFS(heur_A_dp!M:M,heur_A_dp!A:A,A11,heur_A_dp!C:C,B11)</f>
        <v>1.01</v>
      </c>
      <c r="L11" s="12">
        <f>AVERAGEIFS(heur_norm_A!P:P,heur_norm_A!A:A,A11,heur_norm_A!C:C,B11)</f>
        <v>0.01</v>
      </c>
    </row>
    <row r="12" spans="1:12" x14ac:dyDescent="0.35">
      <c r="A12" s="10" t="s">
        <v>75</v>
      </c>
      <c r="B12" s="10" t="s">
        <v>26</v>
      </c>
      <c r="C12" s="11">
        <f>AVERAGEIFS(heur_norm_A!K:K,heur_norm_A!A:A,A12,heur_norm_A!C:C,B12)</f>
        <v>2.3966666666666669</v>
      </c>
      <c r="D12" s="11">
        <f>AVERAGEIFS(heur_norm_A!L:L,heur_norm_A!A:A,A12,heur_norm_A!C:C,B12)</f>
        <v>0.19666666666666668</v>
      </c>
      <c r="E12" s="11">
        <f>AVERAGEIFS(heur_norm_A!M:M,heur_norm_A!A:A,A12,heur_norm_A!C:C,B12)</f>
        <v>2.1733333333333333</v>
      </c>
      <c r="F12" s="12">
        <f>AVERAGEIFS(heur_A_greedy!K:K,heur_A_greedy!A:A,A12,heur_A_greedy!C:C,B12)</f>
        <v>9.3333333333333338E-2</v>
      </c>
      <c r="G12" s="12">
        <f>AVERAGEIFS(heur_A_greedy!L:L,heur_A_greedy!A:A,A12,heur_A_greedy!C:C,B12)</f>
        <v>0.02</v>
      </c>
      <c r="H12" s="12">
        <f>AVERAGEIFS(heur_A_greedy!M:M,heur_A_greedy!A:A,A12,heur_A_greedy!C:C,B12)</f>
        <v>5.3333333333333337E-2</v>
      </c>
      <c r="I12" s="12">
        <f>AVERAGEIFS(heur_A_dp!K:K,heur_A_dp!A:A,A12,heur_A_dp!C:C,B12)</f>
        <v>1.2866666666666666</v>
      </c>
      <c r="J12" s="12">
        <f>AVERAGEIFS(heur_A_dp!L:L,heur_A_dp!A:A,A12,heur_A_dp!C:C,B12)</f>
        <v>4.3333333333333335E-2</v>
      </c>
      <c r="K12" s="12">
        <f>AVERAGEIFS(heur_A_dp!M:M,heur_A_dp!A:A,A12,heur_A_dp!C:C,B12)</f>
        <v>1.2133333333333332</v>
      </c>
      <c r="L12" s="12">
        <f>AVERAGEIFS(heur_norm_A!P:P,heur_norm_A!A:A,A12,heur_norm_A!C:C,B12)</f>
        <v>0.01</v>
      </c>
    </row>
    <row r="13" spans="1:12" x14ac:dyDescent="0.35">
      <c r="A13" s="19" t="s">
        <v>76</v>
      </c>
      <c r="B13" s="14"/>
      <c r="C13" s="15">
        <f t="shared" ref="C13:L13" si="0">AVERAGE(C7:C9)</f>
        <v>2.0766666666666667</v>
      </c>
      <c r="D13" s="15">
        <f t="shared" si="0"/>
        <v>0.16111111111111112</v>
      </c>
      <c r="E13" s="15">
        <f t="shared" si="0"/>
        <v>1.8677777777777778</v>
      </c>
      <c r="F13" s="16">
        <f t="shared" si="0"/>
        <v>0.15333333333333335</v>
      </c>
      <c r="G13" s="16">
        <f t="shared" si="0"/>
        <v>2.2222222222222223E-2</v>
      </c>
      <c r="H13" s="16">
        <f t="shared" si="0"/>
        <v>9.6666666666666665E-2</v>
      </c>
      <c r="I13" s="16">
        <f t="shared" si="0"/>
        <v>1.7555555555555555</v>
      </c>
      <c r="J13" s="16">
        <f t="shared" si="0"/>
        <v>4.8888888888888898E-2</v>
      </c>
      <c r="K13" s="16">
        <f t="shared" si="0"/>
        <v>1.667777777777778</v>
      </c>
      <c r="L13" s="16">
        <f t="shared" si="0"/>
        <v>1.4444444444444446E-2</v>
      </c>
    </row>
    <row r="14" spans="1:12" x14ac:dyDescent="0.35">
      <c r="A14" s="19" t="s">
        <v>77</v>
      </c>
      <c r="B14" s="14"/>
      <c r="C14" s="15">
        <f t="shared" ref="C14:L14" si="1">AVERAGE(C10:C12)</f>
        <v>2.4888888888888889</v>
      </c>
      <c r="D14" s="15">
        <f t="shared" si="1"/>
        <v>0.20111111111111113</v>
      </c>
      <c r="E14" s="15">
        <f t="shared" si="1"/>
        <v>2.2544444444444447</v>
      </c>
      <c r="F14" s="16">
        <f t="shared" si="1"/>
        <v>0.10222222222222221</v>
      </c>
      <c r="G14" s="16">
        <f t="shared" si="1"/>
        <v>1.7777777777777778E-2</v>
      </c>
      <c r="H14" s="16">
        <f t="shared" si="1"/>
        <v>6.2222222222222227E-2</v>
      </c>
      <c r="I14" s="16">
        <f t="shared" si="1"/>
        <v>1.1311111111111112</v>
      </c>
      <c r="J14" s="16">
        <f t="shared" si="1"/>
        <v>3.6666666666666667E-2</v>
      </c>
      <c r="K14" s="16">
        <f t="shared" si="1"/>
        <v>1.0644444444444445</v>
      </c>
      <c r="L14" s="16">
        <f t="shared" si="1"/>
        <v>1.4444444444444446E-2</v>
      </c>
    </row>
    <row r="16" spans="1:12" ht="15.5" x14ac:dyDescent="0.35">
      <c r="A16" s="6" t="s">
        <v>78</v>
      </c>
      <c r="B16" s="7"/>
      <c r="C16" s="7"/>
      <c r="D16" s="7"/>
      <c r="E16" s="7"/>
      <c r="F16" s="7"/>
      <c r="G16" s="7"/>
      <c r="H16" s="7"/>
      <c r="I16" s="7"/>
    </row>
    <row r="17" spans="1:9" x14ac:dyDescent="0.35">
      <c r="A17" s="8"/>
      <c r="B17" s="8"/>
      <c r="C17" s="9" t="s">
        <v>66</v>
      </c>
      <c r="D17" s="9" t="s">
        <v>63</v>
      </c>
      <c r="E17" s="18"/>
      <c r="F17" s="9" t="s">
        <v>64</v>
      </c>
      <c r="G17" s="18"/>
      <c r="H17" s="9" t="s">
        <v>65</v>
      </c>
      <c r="I17" s="18"/>
    </row>
    <row r="18" spans="1:9" x14ac:dyDescent="0.35">
      <c r="A18" s="8" t="s">
        <v>67</v>
      </c>
      <c r="B18" s="8" t="s">
        <v>68</v>
      </c>
      <c r="C18" s="9" t="s">
        <v>72</v>
      </c>
      <c r="D18" s="9" t="s">
        <v>79</v>
      </c>
      <c r="E18" s="9" t="s">
        <v>80</v>
      </c>
      <c r="F18" s="9" t="s">
        <v>79</v>
      </c>
      <c r="G18" s="9" t="s">
        <v>80</v>
      </c>
      <c r="H18" s="9" t="s">
        <v>79</v>
      </c>
      <c r="I18" s="9" t="s">
        <v>80</v>
      </c>
    </row>
    <row r="19" spans="1:9" x14ac:dyDescent="0.35">
      <c r="A19" s="10" t="s">
        <v>74</v>
      </c>
      <c r="B19" s="10" t="s">
        <v>18</v>
      </c>
      <c r="C19" s="13">
        <f>AVERAGEIFS(heur_norm_A!N:N,heur_norm_A!A:A,A19,heur_norm_A!C:C,B19)</f>
        <v>4232.333333333333</v>
      </c>
      <c r="D19" s="13">
        <f>AVERAGEIFS(heur_norm_A!J:J,heur_norm_A!A:A,A19,heur_norm_A!C:C,B19)</f>
        <v>3731</v>
      </c>
      <c r="E19" s="20">
        <f>($C19-D19)/$C19</f>
        <v>0.1184531779160431</v>
      </c>
      <c r="F19" s="13">
        <f>AVERAGEIFS(heur_A_greedy!J:J,heur_A_greedy!A:A,A19,heur_A_greedy!C:C,B19)</f>
        <v>2547.3333333333335</v>
      </c>
      <c r="G19" s="20">
        <f>($C19-F19)/$C19</f>
        <v>0.39812554146648804</v>
      </c>
      <c r="H19" s="13">
        <f>AVERAGEIFS(heur_A_dp!J:J,heur_A_dp!A:A,A19,heur_A_dp!C:C,B19)</f>
        <v>3731</v>
      </c>
      <c r="I19" s="20">
        <f>($C19-H19)/$C19</f>
        <v>0.1184531779160431</v>
      </c>
    </row>
    <row r="20" spans="1:9" x14ac:dyDescent="0.35">
      <c r="A20" s="10" t="s">
        <v>74</v>
      </c>
      <c r="B20" s="10" t="s">
        <v>22</v>
      </c>
      <c r="C20" s="13">
        <f>AVERAGEIFS(heur_norm_A!N:N,heur_norm_A!A:A,A20,heur_norm_A!C:C,B20)</f>
        <v>4302.333333333333</v>
      </c>
      <c r="D20" s="13">
        <f>AVERAGEIFS(heur_norm_A!J:J,heur_norm_A!A:A,A20,heur_norm_A!C:C,B20)</f>
        <v>3944</v>
      </c>
      <c r="E20" s="20">
        <f t="shared" ref="E20:E24" si="2">($C20-D20)/$C20</f>
        <v>8.3288138219570707E-2</v>
      </c>
      <c r="F20" s="13">
        <f>AVERAGEIFS(heur_A_greedy!J:J,heur_A_greedy!A:A,A20,heur_A_greedy!C:C,B20)</f>
        <v>2802.6666666666665</v>
      </c>
      <c r="G20" s="20">
        <f t="shared" ref="G20:G24" si="3">($C20-F20)/$C20</f>
        <v>0.3485705431161385</v>
      </c>
      <c r="H20" s="13">
        <f>AVERAGEIFS(heur_A_dp!J:J,heur_A_dp!A:A,A20,heur_A_dp!C:C,B20)</f>
        <v>3944</v>
      </c>
      <c r="I20" s="20">
        <f t="shared" ref="I20:I24" si="4">($C20-H20)/$C20</f>
        <v>8.3288138219570707E-2</v>
      </c>
    </row>
    <row r="21" spans="1:9" x14ac:dyDescent="0.35">
      <c r="A21" s="10" t="s">
        <v>74</v>
      </c>
      <c r="B21" s="10" t="s">
        <v>26</v>
      </c>
      <c r="C21" s="13">
        <f>AVERAGEIFS(heur_norm_A!N:N,heur_norm_A!A:A,A21,heur_norm_A!C:C,B21)</f>
        <v>5025.666666666667</v>
      </c>
      <c r="D21" s="13">
        <f>AVERAGEIFS(heur_norm_A!J:J,heur_norm_A!A:A,A21,heur_norm_A!C:C,B21)</f>
        <v>4540.666666666667</v>
      </c>
      <c r="E21" s="20">
        <f t="shared" si="2"/>
        <v>9.6504609670358815E-2</v>
      </c>
      <c r="F21" s="13">
        <f>AVERAGEIFS(heur_A_greedy!J:J,heur_A_greedy!A:A,A21,heur_A_greedy!C:C,B21)</f>
        <v>3110.6666666666665</v>
      </c>
      <c r="G21" s="20">
        <f t="shared" si="3"/>
        <v>0.38104397426543751</v>
      </c>
      <c r="H21" s="13">
        <f>AVERAGEIFS(heur_A_dp!J:J,heur_A_dp!A:A,A21,heur_A_dp!C:C,B21)</f>
        <v>4505.333333333333</v>
      </c>
      <c r="I21" s="20">
        <f t="shared" si="4"/>
        <v>0.10353518604496928</v>
      </c>
    </row>
    <row r="22" spans="1:9" x14ac:dyDescent="0.35">
      <c r="A22" s="10" t="s">
        <v>75</v>
      </c>
      <c r="B22" s="10" t="s">
        <v>18</v>
      </c>
      <c r="C22" s="13">
        <f>AVERAGEIFS(heur_norm_A!N:N,heur_norm_A!A:A,A22,heur_norm_A!C:C,B22)</f>
        <v>4210.666666666667</v>
      </c>
      <c r="D22" s="13">
        <f>AVERAGEIFS(heur_norm_A!J:J,heur_norm_A!A:A,A22,heur_norm_A!C:C,B22)</f>
        <v>3774.3333333333335</v>
      </c>
      <c r="E22" s="20">
        <f t="shared" si="2"/>
        <v>0.10362571247625083</v>
      </c>
      <c r="F22" s="13">
        <f>AVERAGEIFS(heur_A_greedy!J:J,heur_A_greedy!A:A,A22,heur_A_greedy!C:C,B22)</f>
        <v>1974.6666666666667</v>
      </c>
      <c r="G22" s="20">
        <f t="shared" si="3"/>
        <v>0.53103229892336923</v>
      </c>
      <c r="H22" s="13">
        <f>AVERAGEIFS(heur_A_dp!J:J,heur_A_dp!A:A,A22,heur_A_dp!C:C,B22)</f>
        <v>3774.3333333333335</v>
      </c>
      <c r="I22" s="20">
        <f t="shared" si="4"/>
        <v>0.10362571247625083</v>
      </c>
    </row>
    <row r="23" spans="1:9" x14ac:dyDescent="0.35">
      <c r="A23" s="10" t="s">
        <v>75</v>
      </c>
      <c r="B23" s="10" t="s">
        <v>22</v>
      </c>
      <c r="C23" s="13">
        <f>AVERAGEIFS(heur_norm_A!N:N,heur_norm_A!A:A,A23,heur_norm_A!C:C,B23)</f>
        <v>4358.333333333333</v>
      </c>
      <c r="D23" s="13">
        <f>AVERAGEIFS(heur_norm_A!J:J,heur_norm_A!A:A,A23,heur_norm_A!C:C,B23)</f>
        <v>4028.6666666666665</v>
      </c>
      <c r="E23" s="20">
        <f t="shared" si="2"/>
        <v>7.5640535372848913E-2</v>
      </c>
      <c r="F23" s="13">
        <f>AVERAGEIFS(heur_A_greedy!J:J,heur_A_greedy!A:A,A23,heur_A_greedy!C:C,B23)</f>
        <v>2058.3333333333335</v>
      </c>
      <c r="G23" s="20">
        <f t="shared" si="3"/>
        <v>0.52772466539196938</v>
      </c>
      <c r="H23" s="13">
        <f>AVERAGEIFS(heur_A_dp!J:J,heur_A_dp!A:A,A23,heur_A_dp!C:C,B23)</f>
        <v>4028.6666666666665</v>
      </c>
      <c r="I23" s="20">
        <f t="shared" si="4"/>
        <v>7.5640535372848913E-2</v>
      </c>
    </row>
    <row r="24" spans="1:9" x14ac:dyDescent="0.35">
      <c r="A24" s="10" t="s">
        <v>75</v>
      </c>
      <c r="B24" s="10" t="s">
        <v>26</v>
      </c>
      <c r="C24" s="13">
        <f>AVERAGEIFS(heur_norm_A!N:N,heur_norm_A!A:A,A24,heur_norm_A!C:C,B24)</f>
        <v>4987</v>
      </c>
      <c r="D24" s="13">
        <f>AVERAGEIFS(heur_norm_A!J:J,heur_norm_A!A:A,A24,heur_norm_A!C:C,B24)</f>
        <v>4581</v>
      </c>
      <c r="E24" s="20">
        <f t="shared" si="2"/>
        <v>8.1411670342891512E-2</v>
      </c>
      <c r="F24" s="13">
        <f>AVERAGEIFS(heur_A_greedy!J:J,heur_A_greedy!A:A,A24,heur_A_greedy!C:C,B24)</f>
        <v>1960.3333333333333</v>
      </c>
      <c r="G24" s="20">
        <f t="shared" si="3"/>
        <v>0.6069113027204065</v>
      </c>
      <c r="H24" s="13">
        <f>AVERAGEIFS(heur_A_dp!J:J,heur_A_dp!A:A,A24,heur_A_dp!C:C,B24)</f>
        <v>4505.666666666667</v>
      </c>
      <c r="I24" s="20">
        <f t="shared" si="4"/>
        <v>9.6517612459060168E-2</v>
      </c>
    </row>
    <row r="25" spans="1:9" x14ac:dyDescent="0.35">
      <c r="A25" s="19" t="s">
        <v>76</v>
      </c>
      <c r="B25" s="14"/>
      <c r="C25" s="17">
        <f>AVERAGE(C19:C21)</f>
        <v>4520.1111111111104</v>
      </c>
      <c r="D25" s="17">
        <f>AVERAGE(D19:D21)</f>
        <v>4071.8888888888891</v>
      </c>
      <c r="E25" s="21">
        <f>($C25-D25)/$C25</f>
        <v>9.9161770851257144E-2</v>
      </c>
      <c r="F25" s="17">
        <f>AVERAGE(F19:F21)</f>
        <v>2820.2222222222222</v>
      </c>
      <c r="G25" s="21">
        <f>($C25-F25)/$C25</f>
        <v>0.37607236793589138</v>
      </c>
      <c r="H25" s="17">
        <f>AVERAGE(H19:H21)</f>
        <v>4060.1111111111109</v>
      </c>
      <c r="I25" s="21">
        <f>($C25-H25)/$C25</f>
        <v>0.10176740984734881</v>
      </c>
    </row>
    <row r="26" spans="1:9" x14ac:dyDescent="0.35">
      <c r="A26" s="19" t="s">
        <v>77</v>
      </c>
      <c r="B26" s="14"/>
      <c r="C26" s="17">
        <f>AVERAGE(C22:C24)</f>
        <v>4518.666666666667</v>
      </c>
      <c r="D26" s="17">
        <f>AVERAGE(D22:D24)</f>
        <v>4128</v>
      </c>
      <c r="E26" s="21">
        <f>($C26-D26)/$C26</f>
        <v>8.6456181764532375E-2</v>
      </c>
      <c r="F26" s="17">
        <f>AVERAGE(F22:F24)</f>
        <v>1997.7777777777776</v>
      </c>
      <c r="G26" s="21">
        <f>($C26-F26)/$C26</f>
        <v>0.55788334808694806</v>
      </c>
      <c r="H26" s="17">
        <f>AVERAGE(H22:H24)</f>
        <v>4102.8888888888896</v>
      </c>
      <c r="I26" s="21">
        <f>($C26-H26)/$C26</f>
        <v>9.201337661060284E-2</v>
      </c>
    </row>
    <row r="28" spans="1:9" x14ac:dyDescent="0.35">
      <c r="A28" s="1"/>
      <c r="B28" s="1" t="s">
        <v>63</v>
      </c>
      <c r="C28" s="1" t="s">
        <v>64</v>
      </c>
      <c r="D28" s="1" t="s">
        <v>65</v>
      </c>
    </row>
    <row r="29" spans="1:9" x14ac:dyDescent="0.35">
      <c r="A29" t="s">
        <v>81</v>
      </c>
      <c r="B29">
        <f>C13</f>
        <v>2.0766666666666667</v>
      </c>
      <c r="C29">
        <f>F13</f>
        <v>0.15333333333333335</v>
      </c>
      <c r="D29">
        <f>I13</f>
        <v>1.7555555555555555</v>
      </c>
    </row>
    <row r="30" spans="1:9" x14ac:dyDescent="0.35">
      <c r="A30" t="s">
        <v>82</v>
      </c>
      <c r="B30">
        <f>C14</f>
        <v>2.4888888888888889</v>
      </c>
      <c r="C30">
        <f>F14</f>
        <v>0.10222222222222221</v>
      </c>
      <c r="D30">
        <f>I14</f>
        <v>1.1311111111111112</v>
      </c>
    </row>
    <row r="32" spans="1:9" x14ac:dyDescent="0.35">
      <c r="A32" s="1"/>
      <c r="B32" s="1" t="s">
        <v>63</v>
      </c>
      <c r="C32" s="1" t="s">
        <v>64</v>
      </c>
      <c r="D32" s="1" t="s">
        <v>65</v>
      </c>
    </row>
    <row r="33" spans="1:4" x14ac:dyDescent="0.35">
      <c r="A33" t="s">
        <v>83</v>
      </c>
      <c r="B33">
        <f>E25</f>
        <v>9.9161770851257144E-2</v>
      </c>
      <c r="C33">
        <f>G25</f>
        <v>0.37607236793589138</v>
      </c>
      <c r="D33">
        <f>I25</f>
        <v>0.10176740984734881</v>
      </c>
    </row>
    <row r="34" spans="1:4" x14ac:dyDescent="0.35">
      <c r="A34" t="s">
        <v>84</v>
      </c>
      <c r="B34">
        <f>E26</f>
        <v>8.6456181764532375E-2</v>
      </c>
      <c r="C34">
        <f>G26</f>
        <v>0.55788334808694806</v>
      </c>
      <c r="D34">
        <f>I26</f>
        <v>9.201337661060284E-2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heur_norm_A</vt:lpstr>
      <vt:lpstr>heur_A_greedy</vt:lpstr>
      <vt:lpstr>heur_A_dp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Koenders</dc:creator>
  <cp:lastModifiedBy>Dylan Koenders</cp:lastModifiedBy>
  <dcterms:created xsi:type="dcterms:W3CDTF">2015-06-05T18:17:20Z</dcterms:created>
  <dcterms:modified xsi:type="dcterms:W3CDTF">2026-03-24T15:25:43Z</dcterms:modified>
</cp:coreProperties>
</file>