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50fe87d39adb08/Bureaublad/Boeken Econometrie/Jaar 3/Bachelor thesis/bsc-thesis-python-code-main/KPWDFS/Solvers/"/>
    </mc:Choice>
  </mc:AlternateContent>
  <xr:revisionPtr revIDLastSave="517" documentId="8_{624F00B8-7B27-4D27-8E69-5E4C2C32BB32}" xr6:coauthVersionLast="47" xr6:coauthVersionMax="47" xr10:uidLastSave="{07AD9281-32A4-4077-A3CB-6B69F33F430C}"/>
  <bookViews>
    <workbookView xWindow="28680" yWindow="-120" windowWidth="29040" windowHeight="15720" xr2:uid="{10E03927-90A2-4173-A331-55381BA4BFAD}"/>
  </bookViews>
  <sheets>
    <sheet name="kpdwfs_results" sheetId="1" r:id="rId1"/>
    <sheet name="Analysis" sheetId="2" r:id="rId2"/>
  </sheets>
  <definedNames>
    <definedName name="_xlnm._FilterDatabase" localSheetId="0" hidden="1">kpdwfs_results!$A$1:$J$601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7" i="2" l="1"/>
  <c r="J67" i="2"/>
  <c r="I67" i="2"/>
  <c r="G67" i="2"/>
  <c r="F67" i="2"/>
  <c r="E67" i="2"/>
  <c r="D67" i="2"/>
  <c r="C67" i="2"/>
  <c r="J66" i="2"/>
  <c r="I66" i="2"/>
  <c r="H66" i="2"/>
  <c r="G66" i="2"/>
  <c r="F66" i="2"/>
  <c r="E66" i="2"/>
  <c r="D66" i="2"/>
  <c r="C66" i="2"/>
  <c r="J65" i="2"/>
  <c r="I65" i="2"/>
  <c r="H65" i="2"/>
  <c r="G65" i="2"/>
  <c r="F65" i="2"/>
  <c r="E65" i="2"/>
  <c r="D65" i="2"/>
  <c r="C65" i="2"/>
  <c r="J64" i="2"/>
  <c r="I64" i="2"/>
  <c r="H64" i="2"/>
  <c r="G64" i="2"/>
  <c r="F64" i="2"/>
  <c r="E64" i="2"/>
  <c r="D64" i="2"/>
  <c r="C64" i="2"/>
  <c r="J63" i="2"/>
  <c r="I63" i="2"/>
  <c r="H63" i="2"/>
  <c r="G63" i="2"/>
  <c r="F63" i="2"/>
  <c r="E63" i="2"/>
  <c r="D63" i="2"/>
  <c r="C63" i="2"/>
  <c r="J62" i="2"/>
  <c r="I62" i="2"/>
  <c r="H62" i="2"/>
  <c r="G62" i="2"/>
  <c r="F62" i="2"/>
  <c r="E62" i="2"/>
  <c r="D62" i="2"/>
  <c r="C62" i="2"/>
  <c r="J61" i="2"/>
  <c r="I61" i="2"/>
  <c r="H61" i="2"/>
  <c r="G61" i="2"/>
  <c r="F61" i="2"/>
  <c r="E61" i="2"/>
  <c r="D61" i="2"/>
  <c r="C61" i="2"/>
  <c r="J60" i="2"/>
  <c r="I60" i="2"/>
  <c r="H60" i="2"/>
  <c r="G60" i="2"/>
  <c r="F60" i="2"/>
  <c r="E60" i="2"/>
  <c r="D60" i="2"/>
  <c r="C60" i="2"/>
  <c r="J59" i="2"/>
  <c r="I59" i="2"/>
  <c r="H59" i="2"/>
  <c r="G59" i="2"/>
  <c r="F59" i="2"/>
  <c r="E59" i="2"/>
  <c r="D59" i="2"/>
  <c r="C59" i="2"/>
  <c r="J58" i="2"/>
  <c r="I58" i="2"/>
  <c r="H58" i="2"/>
  <c r="G58" i="2"/>
  <c r="F58" i="2"/>
  <c r="E58" i="2"/>
  <c r="D58" i="2"/>
  <c r="C58" i="2"/>
  <c r="J57" i="2"/>
  <c r="I57" i="2"/>
  <c r="H57" i="2"/>
  <c r="G57" i="2"/>
  <c r="F57" i="2"/>
  <c r="E57" i="2"/>
  <c r="D57" i="2"/>
  <c r="C57" i="2"/>
  <c r="J56" i="2"/>
  <c r="I56" i="2"/>
  <c r="H56" i="2"/>
  <c r="G56" i="2"/>
  <c r="F56" i="2"/>
  <c r="E56" i="2"/>
  <c r="D56" i="2"/>
  <c r="C56" i="2"/>
  <c r="J55" i="2"/>
  <c r="I55" i="2"/>
  <c r="H55" i="2"/>
  <c r="G55" i="2"/>
  <c r="F55" i="2"/>
  <c r="E55" i="2"/>
  <c r="D55" i="2"/>
  <c r="C55" i="2"/>
  <c r="J54" i="2"/>
  <c r="I54" i="2"/>
  <c r="H54" i="2"/>
  <c r="G54" i="2"/>
  <c r="F54" i="2"/>
  <c r="E54" i="2"/>
  <c r="D54" i="2"/>
  <c r="C54" i="2"/>
  <c r="J53" i="2"/>
  <c r="I53" i="2"/>
  <c r="H53" i="2"/>
  <c r="G53" i="2"/>
  <c r="F53" i="2"/>
  <c r="E53" i="2"/>
  <c r="D53" i="2"/>
  <c r="C53" i="2"/>
  <c r="D41" i="2"/>
  <c r="C41" i="2"/>
  <c r="B41" i="2"/>
  <c r="D40" i="2"/>
  <c r="C40" i="2"/>
  <c r="B40" i="2"/>
  <c r="D39" i="2"/>
  <c r="C39" i="2"/>
  <c r="B39" i="2"/>
  <c r="D38" i="2"/>
  <c r="C38" i="2"/>
  <c r="B38" i="2"/>
  <c r="D34" i="2"/>
  <c r="C34" i="2"/>
  <c r="B34" i="2"/>
  <c r="D33" i="2"/>
  <c r="C33" i="2"/>
  <c r="B33" i="2"/>
  <c r="D32" i="2"/>
  <c r="C32" i="2"/>
  <c r="B32" i="2"/>
  <c r="D31" i="2"/>
  <c r="C31" i="2"/>
  <c r="B31" i="2"/>
  <c r="F25" i="2" a="1"/>
  <c r="F25" i="2" s="1"/>
  <c r="E25" i="2"/>
  <c r="D25" i="2" a="1"/>
  <c r="D25" i="2" s="1"/>
  <c r="C25" i="2"/>
  <c r="B25" i="2"/>
  <c r="F24" i="2" a="1"/>
  <c r="F24" i="2" s="1"/>
  <c r="E24" i="2"/>
  <c r="D24" i="2" a="1"/>
  <c r="D24" i="2" s="1"/>
  <c r="C24" i="2"/>
  <c r="B24" i="2"/>
  <c r="F23" i="2" a="1"/>
  <c r="F23" i="2" s="1"/>
  <c r="E23" i="2"/>
  <c r="D23" i="2" a="1"/>
  <c r="D23" i="2" s="1"/>
  <c r="C23" i="2"/>
  <c r="B23" i="2"/>
  <c r="F19" i="2" a="1"/>
  <c r="F19" i="2" s="1"/>
  <c r="E19" i="2"/>
  <c r="D19" i="2" a="1"/>
  <c r="D19" i="2" s="1"/>
  <c r="C19" i="2"/>
  <c r="B19" i="2"/>
  <c r="F18" i="2" a="1"/>
  <c r="F18" i="2" s="1"/>
  <c r="E18" i="2"/>
  <c r="D18" i="2" a="1"/>
  <c r="D18" i="2" s="1"/>
  <c r="C18" i="2"/>
  <c r="B18" i="2"/>
  <c r="F17" i="2" a="1"/>
  <c r="F17" i="2" s="1"/>
  <c r="E17" i="2"/>
  <c r="D17" i="2" a="1"/>
  <c r="D17" i="2" s="1"/>
  <c r="C17" i="2"/>
  <c r="B17" i="2"/>
  <c r="F16" i="2" a="1"/>
  <c r="F16" i="2" s="1"/>
  <c r="E16" i="2"/>
  <c r="D16" i="2" a="1"/>
  <c r="D16" i="2" s="1"/>
  <c r="C16" i="2"/>
  <c r="B16" i="2"/>
  <c r="G11" i="2"/>
  <c r="F11" i="2"/>
  <c r="E11" i="2"/>
  <c r="D11" i="2"/>
  <c r="C11" i="2"/>
  <c r="B11" i="2"/>
  <c r="G10" i="2"/>
  <c r="F10" i="2"/>
  <c r="E10" i="2"/>
  <c r="D10" i="2"/>
  <c r="C10" i="2"/>
  <c r="B10" i="2"/>
  <c r="B5" i="2" a="1"/>
  <c r="B5" i="2" s="1"/>
  <c r="B6" i="2" s="1"/>
  <c r="B4" i="2"/>
  <c r="B12" i="2" l="1"/>
  <c r="H18" i="2"/>
  <c r="G19" i="2"/>
  <c r="C12" i="2"/>
  <c r="G16" i="2"/>
  <c r="H24" i="2"/>
  <c r="H16" i="2"/>
  <c r="H25" i="2"/>
  <c r="H19" i="2"/>
  <c r="H17" i="2"/>
  <c r="G23" i="2"/>
  <c r="H23" i="2"/>
  <c r="G18" i="2"/>
  <c r="G17" i="2"/>
  <c r="G24" i="2"/>
  <c r="G25" i="2"/>
  <c r="D48" i="2"/>
  <c r="C48" i="2"/>
  <c r="B48" i="2"/>
  <c r="D47" i="2"/>
  <c r="C47" i="2"/>
  <c r="B47" i="2"/>
  <c r="D46" i="2"/>
  <c r="C46" i="2"/>
  <c r="B46" i="2"/>
  <c r="D45" i="2"/>
  <c r="C45" i="2"/>
  <c r="B4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<sst xmlns="http://schemas.openxmlformats.org/spreadsheetml/2006/main" count="1366" uniqueCount="693">
  <si>
    <t>filename</t>
  </si>
  <si>
    <t>scenario</t>
  </si>
  <si>
    <t>type</t>
  </si>
  <si>
    <t>n</t>
  </si>
  <si>
    <t>instance</t>
  </si>
  <si>
    <t>dp_obj</t>
  </si>
  <si>
    <t>dp_time</t>
  </si>
  <si>
    <t>gurobi_obj</t>
  </si>
  <si>
    <t>gurobi_time</t>
  </si>
  <si>
    <t>obj_match</t>
  </si>
  <si>
    <t>kpdwfs_sc1_id10_n1000_b1550_sets89_k288_correlated.txt</t>
  </si>
  <si>
    <t>C</t>
  </si>
  <si>
    <t>kpdwfs_sc1_id10_n300_b465_sets77_k320_correlated.txt</t>
  </si>
  <si>
    <t>kpdwfs_sc1_id10_n500_b775_sets83_k320_correlated.txt</t>
  </si>
  <si>
    <t>kpdwfs_sc1_id10_n700_b1085_sets91_k320_correlated.txt</t>
  </si>
  <si>
    <t>kpdwfs_sc1_id10_n800_b1240_sets94_k288_correlated.txt</t>
  </si>
  <si>
    <t>kpdwfs_sc1_id1_n1000_b1550_sets89_k288_correlated.txt</t>
  </si>
  <si>
    <t>kpdwfs_sc1_id1_n300_b465_sets74_k320_correlated.txt</t>
  </si>
  <si>
    <t>kpdwfs_sc1_id1_n500_b775_sets78_k320_correlated.txt</t>
  </si>
  <si>
    <t>kpdwfs_sc1_id1_n700_b1085_sets82_k320_correlated.txt</t>
  </si>
  <si>
    <t>kpdwfs_sc1_id1_n800_b1240_sets93_k288_correlated.txt</t>
  </si>
  <si>
    <t>kpdwfs_sc1_id2_n1000_b1550_sets96_k288_correlated.txt</t>
  </si>
  <si>
    <t>kpdwfs_sc1_id2_n300_b465_sets79_k320_correlated.txt</t>
  </si>
  <si>
    <t>kpdwfs_sc1_id2_n500_b775_sets83_k320_correlated.txt</t>
  </si>
  <si>
    <t>kpdwfs_sc1_id2_n700_b1085_sets102_k320_correlated.txt</t>
  </si>
  <si>
    <t>kpdwfs_sc1_id2_n800_b1240_sets100_k288_correlated.txt</t>
  </si>
  <si>
    <t>kpdwfs_sc1_id3_n1000_b1550_sets89_k288_correlated.txt</t>
  </si>
  <si>
    <t>kpdwfs_sc1_id3_n300_b465_sets76_k320_correlated.txt</t>
  </si>
  <si>
    <t>kpdwfs_sc1_id3_n500_b775_sets84_k320_correlated.txt</t>
  </si>
  <si>
    <t>kpdwfs_sc1_id3_n700_b1085_sets86_k320_correlated.txt</t>
  </si>
  <si>
    <t>kpdwfs_sc1_id3_n800_b1240_sets92_k288_correlated.txt</t>
  </si>
  <si>
    <t>kpdwfs_sc1_id4_n1000_b1550_sets90_k288_correlated.txt</t>
  </si>
  <si>
    <t>kpdwfs_sc1_id4_n300_b465_sets78_k320_correlated.txt</t>
  </si>
  <si>
    <t>kpdwfs_sc1_id4_n500_b775_sets81_k320_correlated.txt</t>
  </si>
  <si>
    <t>kpdwfs_sc1_id4_n700_b1085_sets82_k320_correlated.txt</t>
  </si>
  <si>
    <t>kpdwfs_sc1_id4_n800_b1240_sets99_k288_correlated.txt</t>
  </si>
  <si>
    <t>kpdwfs_sc1_id5_n1000_b1550_sets84_k288_correlated.txt</t>
  </si>
  <si>
    <t>kpdwfs_sc1_id5_n300_b465_sets75_k320_correlated.txt</t>
  </si>
  <si>
    <t>kpdwfs_sc1_id5_n500_b775_sets83_k320_correlated.txt</t>
  </si>
  <si>
    <t>kpdwfs_sc1_id5_n700_b1085_sets80_k320_correlated.txt</t>
  </si>
  <si>
    <t>kpdwfs_sc1_id5_n800_b1240_sets91_k288_correlated.txt</t>
  </si>
  <si>
    <t>kpdwfs_sc1_id6_n1000_b1550_sets91_k288_correlated.txt</t>
  </si>
  <si>
    <t>kpdwfs_sc1_id6_n300_b465_sets78_k320_correlated.txt</t>
  </si>
  <si>
    <t>kpdwfs_sc1_id6_n500_b775_sets87_k320_correlated.txt</t>
  </si>
  <si>
    <t>kpdwfs_sc1_id6_n700_b1085_sets92_k320_correlated.txt</t>
  </si>
  <si>
    <t>kpdwfs_sc1_id6_n800_b1240_sets87_k288_correlated.txt</t>
  </si>
  <si>
    <t>kpdwfs_sc1_id7_n1000_b1550_sets96_k288_correlated.txt</t>
  </si>
  <si>
    <t>kpdwfs_sc1_id7_n300_b465_sets78_k320_correlated.txt</t>
  </si>
  <si>
    <t>kpdwfs_sc1_id7_n500_b775_sets83_k320_correlated.txt</t>
  </si>
  <si>
    <t>kpdwfs_sc1_id7_n700_b1085_sets88_k320_correlated.txt</t>
  </si>
  <si>
    <t>kpdwfs_sc1_id7_n800_b1240_sets86_k288_correlated.txt</t>
  </si>
  <si>
    <t>kpdwfs_sc1_id8_n1000_b1550_sets93_k288_correlated.txt</t>
  </si>
  <si>
    <t>kpdwfs_sc1_id8_n300_b465_sets76_k320_correlated.txt</t>
  </si>
  <si>
    <t>kpdwfs_sc1_id8_n500_b775_sets83_k320_correlated.txt</t>
  </si>
  <si>
    <t>kpdwfs_sc1_id8_n700_b1085_sets88_k320_correlated.txt</t>
  </si>
  <si>
    <t>kpdwfs_sc1_id8_n800_b1240_sets81_k288_correlated.txt</t>
  </si>
  <si>
    <t>kpdwfs_sc1_id9_n1000_b1550_sets85_k288_correlated.txt</t>
  </si>
  <si>
    <t>kpdwfs_sc1_id9_n300_b465_sets74_k320_correlated.txt</t>
  </si>
  <si>
    <t>kpdwfs_sc1_id9_n500_b775_sets82_k320_correlated.txt</t>
  </si>
  <si>
    <t>kpdwfs_sc1_id9_n700_b1085_sets90_k320_correlated.txt</t>
  </si>
  <si>
    <t>kpdwfs_sc1_id9_n800_b1240_sets96_k288_correlated.txt</t>
  </si>
  <si>
    <t>kpdwfs_sc1_id10_n1000_b1550_sets96_k288_fully-correlated.txt</t>
  </si>
  <si>
    <t>FC</t>
  </si>
  <si>
    <t>kpdwfs_sc1_id10_n300_b465_sets73_k320_fully-correlated.txt</t>
  </si>
  <si>
    <t>kpdwfs_sc1_id10_n500_b775_sets79_k320_fully-correlated.txt</t>
  </si>
  <si>
    <t>kpdwfs_sc1_id10_n700_b1085_sets82_k320_fully-correlated.txt</t>
  </si>
  <si>
    <t>kpdwfs_sc1_id10_n800_b1240_sets93_k288_fully-correlated.txt</t>
  </si>
  <si>
    <t>kpdwfs_sc1_id1_n1000_b1550_sets88_k288_fully-correlated.txt</t>
  </si>
  <si>
    <t>kpdwfs_sc1_id1_n300_b465_sets78_k320_fully-correlated.txt</t>
  </si>
  <si>
    <t>kpdwfs_sc1_id1_n500_b775_sets87_k320_fully-correlated.txt</t>
  </si>
  <si>
    <t>kpdwfs_sc1_id1_n700_b1085_sets92_k320_fully-correlated.txt</t>
  </si>
  <si>
    <t>kpdwfs_sc1_id1_n800_b1240_sets94_k288_fully-correlated.txt</t>
  </si>
  <si>
    <t>kpdwfs_sc1_id2_n1000_b1550_sets85_k288_fully-correlated.txt</t>
  </si>
  <si>
    <t>kpdwfs_sc1_id2_n300_b465_sets75_k320_fully-correlated.txt</t>
  </si>
  <si>
    <t>kpdwfs_sc1_id2_n500_b775_sets85_k320_fully-correlated.txt</t>
  </si>
  <si>
    <t>kpdwfs_sc1_id2_n700_b1085_sets84_k320_fully-correlated.txt</t>
  </si>
  <si>
    <t>kpdwfs_sc1_id2_n800_b1240_sets81_k288_fully-correlated.txt</t>
  </si>
  <si>
    <t>kpdwfs_sc1_id3_n1000_b1550_sets91_k288_fully-correlated.txt</t>
  </si>
  <si>
    <t>kpdwfs_sc1_id3_n300_b465_sets78_k320_fully-correlated.txt</t>
  </si>
  <si>
    <t>kpdwfs_sc1_id3_n500_b775_sets88_k320_fully-correlated.txt</t>
  </si>
  <si>
    <t>kpdwfs_sc1_id3_n700_b1085_sets87_k320_fully-correlated.txt</t>
  </si>
  <si>
    <t>kpdwfs_sc1_id3_n800_b1240_sets93_k288_fully-correlated.txt</t>
  </si>
  <si>
    <t>kpdwfs_sc1_id4_n1000_b1550_sets113_k288_fully-correlated.txt</t>
  </si>
  <si>
    <t>kpdwfs_sc1_id4_n300_b465_sets75_k320_fully-correlated.txt</t>
  </si>
  <si>
    <t>kpdwfs_sc1_id4_n500_b775_sets93_k320_fully-correlated.txt</t>
  </si>
  <si>
    <t>kpdwfs_sc1_id4_n700_b1085_sets83_k320_fully-correlated.txt</t>
  </si>
  <si>
    <t>kpdwfs_sc1_id4_n800_b1240_sets85_k288_fully-correlated.txt</t>
  </si>
  <si>
    <t>kpdwfs_sc1_id5_n1000_b1550_sets99_k288_fully-correlated.txt</t>
  </si>
  <si>
    <t>kpdwfs_sc1_id5_n300_b465_sets78_k320_fully-correlated.txt</t>
  </si>
  <si>
    <t>kpdwfs_sc1_id5_n500_b775_sets79_k320_fully-correlated.txt</t>
  </si>
  <si>
    <t>kpdwfs_sc1_id5_n700_b1085_sets92_k320_fully-correlated.txt</t>
  </si>
  <si>
    <t>kpdwfs_sc1_id5_n800_b1240_sets86_k288_fully-correlated.txt</t>
  </si>
  <si>
    <t>kpdwfs_sc1_id6_n1000_b1550_sets95_k288_fully-correlated.txt</t>
  </si>
  <si>
    <t>kpdwfs_sc1_id6_n300_b465_sets75_k320_fully-correlated.txt</t>
  </si>
  <si>
    <t>kpdwfs_sc1_id6_n500_b775_sets81_k320_fully-correlated.txt</t>
  </si>
  <si>
    <t>kpdwfs_sc1_id6_n700_b1085_sets89_k320_fully-correlated.txt</t>
  </si>
  <si>
    <t>kpdwfs_sc1_id6_n800_b1240_sets94_k288_fully-correlated.txt</t>
  </si>
  <si>
    <t>kpdwfs_sc1_id7_n1000_b1550_sets96_k288_fully-correlated.txt</t>
  </si>
  <si>
    <t>kpdwfs_sc1_id7_n300_b465_sets78_k320_fully-correlated.txt</t>
  </si>
  <si>
    <t>kpdwfs_sc1_id7_n500_b775_sets93_k320_fully-correlated.txt</t>
  </si>
  <si>
    <t>kpdwfs_sc1_id7_n700_b1085_sets97_k320_fully-correlated.txt</t>
  </si>
  <si>
    <t>kpdwfs_sc1_id7_n800_b1240_sets86_k288_fully-correlated.txt</t>
  </si>
  <si>
    <t>kpdwfs_sc1_id8_n1000_b1550_sets94_k288_fully-correlated.txt</t>
  </si>
  <si>
    <t>kpdwfs_sc1_id8_n300_b465_sets74_k320_fully-correlated.txt</t>
  </si>
  <si>
    <t>kpdwfs_sc1_id8_n500_b775_sets83_k320_fully-correlated.txt</t>
  </si>
  <si>
    <t>kpdwfs_sc1_id8_n700_b1085_sets94_k320_fully-correlated.txt</t>
  </si>
  <si>
    <t>kpdwfs_sc1_id8_n800_b1240_sets87_k288_fully-correlated.txt</t>
  </si>
  <si>
    <t>kpdwfs_sc1_id9_n1000_b1550_sets91_k288_fully-correlated.txt</t>
  </si>
  <si>
    <t>kpdwfs_sc1_id9_n300_b465_sets72_k320_fully-correlated.txt</t>
  </si>
  <si>
    <t>kpdwfs_sc1_id9_n500_b775_sets78_k320_fully-correlated.txt</t>
  </si>
  <si>
    <t>kpdwfs_sc1_id9_n700_b1085_sets84_k320_fully-correlated.txt</t>
  </si>
  <si>
    <t>kpdwfs_sc1_id9_n800_b1240_sets92_k288_fully-correlated.txt</t>
  </si>
  <si>
    <t>kpdwfs_sc1_id10_n1000_b1550_sets93_k288_not-correlated.txt</t>
  </si>
  <si>
    <t>NC</t>
  </si>
  <si>
    <t>kpdwfs_sc1_id10_n300_b465_sets78_k320_not-correlated.txt</t>
  </si>
  <si>
    <t>kpdwfs_sc1_id10_n500_b775_sets81_k320_not-correlated.txt</t>
  </si>
  <si>
    <t>kpdwfs_sc1_id10_n700_b1085_sets89_k320_not-correlated.txt</t>
  </si>
  <si>
    <t>kpdwfs_sc1_id10_n800_b1240_sets84_k288_not-correlated.txt</t>
  </si>
  <si>
    <t>kpdwfs_sc1_id1_n1000_b1550_sets89_k288_not-correlated.txt</t>
  </si>
  <si>
    <t>kpdwfs_sc1_id1_n300_b465_sets76_k320_not-correlated.txt</t>
  </si>
  <si>
    <t>kpdwfs_sc1_id1_n500_b775_sets83_k320_not-correlated.txt</t>
  </si>
  <si>
    <t>kpdwfs_sc1_id1_n700_b1085_sets91_k320_not-correlated.txt</t>
  </si>
  <si>
    <t>kpdwfs_sc1_id1_n800_b1240_sets85_k288_not-correlated.txt</t>
  </si>
  <si>
    <t>kpdwfs_sc1_id2_n1000_b1550_sets87_k288_not-correlated.txt</t>
  </si>
  <si>
    <t>kpdwfs_sc1_id2_n300_b465_sets74_k320_not-correlated.txt</t>
  </si>
  <si>
    <t>kpdwfs_sc1_id2_n500_b775_sets79_k320_not-correlated.txt</t>
  </si>
  <si>
    <t>kpdwfs_sc1_id2_n700_b1085_sets80_k320_not-correlated.txt</t>
  </si>
  <si>
    <t>kpdwfs_sc1_id2_n800_b1240_sets95_k288_not-correlated.txt</t>
  </si>
  <si>
    <t>kpdwfs_sc1_id3_n1000_b1550_sets88_k288_not-correlated.txt</t>
  </si>
  <si>
    <t>kpdwfs_sc1_id3_n300_b465_sets74_k320_not-correlated.txt</t>
  </si>
  <si>
    <t>kpdwfs_sc1_id3_n500_b775_sets80_k320_not-correlated.txt</t>
  </si>
  <si>
    <t>kpdwfs_sc1_id3_n700_b1085_sets84_k320_not-correlated.txt</t>
  </si>
  <si>
    <t>kpdwfs_sc1_id3_n800_b1240_sets96_k288_not-correlated.txt</t>
  </si>
  <si>
    <t>kpdwfs_sc1_id4_n1000_b1550_sets97_k288_not-correlated.txt</t>
  </si>
  <si>
    <t>kpdwfs_sc1_id4_n300_b465_sets77_k320_not-correlated.txt</t>
  </si>
  <si>
    <t>kpdwfs_sc1_id4_n500_b775_sets84_k320_not-correlated.txt</t>
  </si>
  <si>
    <t>kpdwfs_sc1_id4_n700_b1085_sets86_k320_not-correlated.txt</t>
  </si>
  <si>
    <t>kpdwfs_sc1_id4_n800_b1240_sets91_k288_not-correlated.txt</t>
  </si>
  <si>
    <t>kpdwfs_sc1_id5_n1000_b1550_sets90_k288_not-correlated.txt</t>
  </si>
  <si>
    <t>kpdwfs_sc1_id5_n300_b465_sets78_k320_not-correlated.txt</t>
  </si>
  <si>
    <t>kpdwfs_sc1_id5_n500_b775_sets84_k320_not-correlated.txt</t>
  </si>
  <si>
    <t>kpdwfs_sc1_id5_n700_b1085_sets86_k320_not-correlated.txt</t>
  </si>
  <si>
    <t>kpdwfs_sc1_id5_n800_b1240_sets86_k288_not-correlated.txt</t>
  </si>
  <si>
    <t>kpdwfs_sc1_id6_n1000_b1550_sets93_k288_not-correlated.txt</t>
  </si>
  <si>
    <t>kpdwfs_sc1_id6_n300_b465_sets79_k320_not-correlated.txt</t>
  </si>
  <si>
    <t>kpdwfs_sc1_id6_n500_b775_sets89_k320_not-correlated.txt</t>
  </si>
  <si>
    <t>kpdwfs_sc1_id6_n700_b1085_sets84_k320_not-correlated.txt</t>
  </si>
  <si>
    <t>kpdwfs_sc1_id6_n800_b1240_sets88_k288_not-correlated.txt</t>
  </si>
  <si>
    <t>kpdwfs_sc1_id7_n1000_b1550_sets87_k288_not-correlated.txt</t>
  </si>
  <si>
    <t>kpdwfs_sc1_id7_n300_b465_sets73_k320_not-correlated.txt</t>
  </si>
  <si>
    <t>kpdwfs_sc1_id7_n500_b775_sets75_k320_not-correlated.txt</t>
  </si>
  <si>
    <t>kpdwfs_sc1_id7_n700_b1085_sets86_k320_not-correlated.txt</t>
  </si>
  <si>
    <t>kpdwfs_sc1_id7_n800_b1240_sets89_k288_not-correlated.txt</t>
  </si>
  <si>
    <t>kpdwfs_sc1_id8_n1000_b1550_sets86_k288_not-correlated.txt</t>
  </si>
  <si>
    <t>kpdwfs_sc1_id8_n300_b465_sets77_k320_not-correlated.txt</t>
  </si>
  <si>
    <t>kpdwfs_sc1_id8_n500_b775_sets75_k320_not-correlated.txt</t>
  </si>
  <si>
    <t>kpdwfs_sc1_id8_n700_b1085_sets84_k320_not-correlated.txt</t>
  </si>
  <si>
    <t>kpdwfs_sc1_id8_n800_b1240_sets88_k288_not-correlated.txt</t>
  </si>
  <si>
    <t>kpdwfs_sc1_id9_n1000_b1550_sets85_k288_not-correlated.txt</t>
  </si>
  <si>
    <t>kpdwfs_sc1_id9_n300_b465_sets72_k320_not-correlated.txt</t>
  </si>
  <si>
    <t>kpdwfs_sc1_id9_n500_b775_sets87_k320_not-correlated.txt</t>
  </si>
  <si>
    <t>kpdwfs_sc1_id9_n700_b1085_sets93_k320_not-correlated.txt</t>
  </si>
  <si>
    <t>kpdwfs_sc1_id9_n800_b1240_sets93_k288_not-correlated.txt</t>
  </si>
  <si>
    <t>kpdwfs_sc2_id10_n1000_b1550_sets36_k288_correlated.txt</t>
  </si>
  <si>
    <t>kpdwfs_sc2_id10_n300_b465_sets33_k320_correlated.txt</t>
  </si>
  <si>
    <t>kpdwfs_sc2_id10_n500_b775_sets38_k320_correlated.txt</t>
  </si>
  <si>
    <t>kpdwfs_sc2_id10_n700_b1085_sets40_k320_correlated.txt</t>
  </si>
  <si>
    <t>kpdwfs_sc2_id10_n800_b1240_sets38_k288_correlated.txt</t>
  </si>
  <si>
    <t>kpdwfs_sc2_id1_n1000_b1550_sets40_k288_correlated.txt</t>
  </si>
  <si>
    <t>kpdwfs_sc2_id1_n300_b465_sets32_k320_correlated.txt</t>
  </si>
  <si>
    <t>kpdwfs_sc2_id1_n500_b775_sets35_k320_correlated.txt</t>
  </si>
  <si>
    <t>kpdwfs_sc2_id1_n700_b1085_sets36_k320_correlated.txt</t>
  </si>
  <si>
    <t>kpdwfs_sc2_id1_n800_b1240_sets38_k288_correlated.txt</t>
  </si>
  <si>
    <t>kpdwfs_sc2_id2_n1000_b1550_sets42_k288_correlated.txt</t>
  </si>
  <si>
    <t>kpdwfs_sc2_id2_n300_b465_sets33_k320_correlated.txt</t>
  </si>
  <si>
    <t>kpdwfs_sc2_id2_n500_b775_sets40_k320_correlated.txt</t>
  </si>
  <si>
    <t>kpdwfs_sc2_id2_n700_b1085_sets44_k320_correlated.txt</t>
  </si>
  <si>
    <t>kpdwfs_sc2_id2_n800_b1240_sets47_k288_correlated.txt</t>
  </si>
  <si>
    <t>kpdwfs_sc2_id3_n1000_b1550_sets38_k288_correlated.txt</t>
  </si>
  <si>
    <t>kpdwfs_sc2_id3_n300_b465_sets37_k320_correlated.txt</t>
  </si>
  <si>
    <t>kpdwfs_sc2_id3_n500_b775_sets36_k320_correlated.txt</t>
  </si>
  <si>
    <t>kpdwfs_sc2_id3_n700_b1085_sets36_k320_correlated.txt</t>
  </si>
  <si>
    <t>kpdwfs_sc2_id3_n800_b1240_sets40_k288_correlated.txt</t>
  </si>
  <si>
    <t>kpdwfs_sc2_id4_n1000_b1550_sets41_k288_correlated.txt</t>
  </si>
  <si>
    <t>kpdwfs_sc2_id4_n300_b465_sets39_k320_correlated.txt</t>
  </si>
  <si>
    <t>kpdwfs_sc2_id4_n500_b775_sets32_k320_correlated.txt</t>
  </si>
  <si>
    <t>kpdwfs_sc2_id4_n700_b1085_sets33_k320_correlated.txt</t>
  </si>
  <si>
    <t>kpdwfs_sc2_id4_n800_b1240_sets44_k288_correlated.txt</t>
  </si>
  <si>
    <t>kpdwfs_sc2_id5_n1000_b1550_sets39_k288_correlated.txt</t>
  </si>
  <si>
    <t>kpdwfs_sc2_id5_n300_b465_sets42_k320_correlated.txt</t>
  </si>
  <si>
    <t>kpdwfs_sc2_id5_n500_b775_sets36_k320_correlated.txt</t>
  </si>
  <si>
    <t>kpdwfs_sc2_id5_n700_b1085_sets36_k320_correlated.txt</t>
  </si>
  <si>
    <t>kpdwfs_sc2_id5_n800_b1240_sets43_k288_correlated.txt</t>
  </si>
  <si>
    <t>kpdwfs_sc2_id6_n1000_b1550_sets40_k288_correlated.txt</t>
  </si>
  <si>
    <t>kpdwfs_sc2_id6_n300_b465_sets39_k320_correlated.txt</t>
  </si>
  <si>
    <t>kpdwfs_sc2_id6_n500_b775_sets41_k320_correlated.txt</t>
  </si>
  <si>
    <t>kpdwfs_sc2_id6_n700_b1085_sets43_k320_correlated.txt</t>
  </si>
  <si>
    <t>kpdwfs_sc2_id6_n800_b1240_sets36_k288_correlated.txt</t>
  </si>
  <si>
    <t>kpdwfs_sc2_id7_n1000_b1550_sets44_k288_correlated.txt</t>
  </si>
  <si>
    <t>kpdwfs_sc2_id7_n300_b465_sets34_k320_correlated.txt</t>
  </si>
  <si>
    <t>kpdwfs_sc2_id7_n500_b775_sets37_k320_correlated.txt</t>
  </si>
  <si>
    <t>kpdwfs_sc2_id7_n700_b1085_sets39_k320_correlated.txt</t>
  </si>
  <si>
    <t>kpdwfs_sc2_id7_n800_b1240_sets35_k288_correlated.txt</t>
  </si>
  <si>
    <t>kpdwfs_sc2_id8_n1000_b1550_sets38_k288_correlated.txt</t>
  </si>
  <si>
    <t>kpdwfs_sc2_id8_n300_b465_sets35_k320_correlated.txt</t>
  </si>
  <si>
    <t>kpdwfs_sc2_id8_n500_b775_sets36_k320_correlated.txt</t>
  </si>
  <si>
    <t>kpdwfs_sc2_id8_n700_b1085_sets35_k320_correlated.txt</t>
  </si>
  <si>
    <t>kpdwfs_sc2_id8_n800_b1240_sets38_k288_correlated.txt</t>
  </si>
  <si>
    <t>kpdwfs_sc2_id9_n1000_b1550_sets35_k288_correlated.txt</t>
  </si>
  <si>
    <t>kpdwfs_sc2_id9_n300_b465_sets34_k320_correlated.txt</t>
  </si>
  <si>
    <t>kpdwfs_sc2_id9_n500_b775_sets36_k320_correlated.txt</t>
  </si>
  <si>
    <t>kpdwfs_sc2_id9_n700_b1085_sets38_k320_correlated.txt</t>
  </si>
  <si>
    <t>kpdwfs_sc2_id9_n800_b1240_sets36_k288_correlated.txt</t>
  </si>
  <si>
    <t>kpdwfs_sc2_id10_n1000_b1550_sets41_k288_fully-correlated.txt</t>
  </si>
  <si>
    <t>kpdwfs_sc2_id10_n300_b465_sets30_k320_fully-correlated.txt</t>
  </si>
  <si>
    <t>kpdwfs_sc2_id10_n500_b775_sets35_k320_fully-correlated.txt</t>
  </si>
  <si>
    <t>kpdwfs_sc2_id10_n700_b1085_sets34_k320_fully-correlated.txt</t>
  </si>
  <si>
    <t>kpdwfs_sc2_id10_n800_b1240_sets41_k288_fully-correlated.txt</t>
  </si>
  <si>
    <t>kpdwfs_sc2_id1_n1000_b1550_sets37_k288_fully-correlated.txt</t>
  </si>
  <si>
    <t>kpdwfs_sc2_id1_n300_b465_sets39_k320_fully-correlated.txt</t>
  </si>
  <si>
    <t>kpdwfs_sc2_id1_n500_b775_sets40_k320_fully-correlated.txt</t>
  </si>
  <si>
    <t>kpdwfs_sc2_id1_n700_b1085_sets36_k320_fully-correlated.txt</t>
  </si>
  <si>
    <t>kpdwfs_sc2_id1_n800_b1240_sets41_k288_fully-correlated.txt</t>
  </si>
  <si>
    <t>kpdwfs_sc2_id2_n1000_b1550_sets35_k288_fully-correlated.txt</t>
  </si>
  <si>
    <t>kpdwfs_sc2_id2_n300_b465_sets34_k320_fully-correlated.txt</t>
  </si>
  <si>
    <t>kpdwfs_sc2_id2_n500_b775_sets39_k320_fully-correlated.txt</t>
  </si>
  <si>
    <t>kpdwfs_sc2_id2_n700_b1085_sets40_k320_fully-correlated.txt</t>
  </si>
  <si>
    <t>kpdwfs_sc2_id2_n800_b1240_sets31_k288_fully-correlated.txt</t>
  </si>
  <si>
    <t>kpdwfs_sc2_id3_n1000_b1550_sets42_k288_fully-correlated.txt</t>
  </si>
  <si>
    <t>kpdwfs_sc2_id3_n300_b465_sets34_k320_fully-correlated.txt</t>
  </si>
  <si>
    <t>kpdwfs_sc2_id3_n500_b775_sets39_k320_fully-correlated.txt</t>
  </si>
  <si>
    <t>kpdwfs_sc2_id3_n700_b1085_sets40_k320_fully-correlated.txt</t>
  </si>
  <si>
    <t>kpdwfs_sc2_id3_n800_b1240_sets40_k288_fully-correlated.txt</t>
  </si>
  <si>
    <t>kpdwfs_sc2_id4_n1000_b1550_sets53_k288_fully-correlated.txt</t>
  </si>
  <si>
    <t>kpdwfs_sc2_id4_n300_b465_sets36_k320_fully-correlated.txt</t>
  </si>
  <si>
    <t>kpdwfs_sc2_id4_n500_b775_sets44_k320_fully-correlated.txt</t>
  </si>
  <si>
    <t>kpdwfs_sc2_id4_n700_b1085_sets33_k320_fully-correlated.txt</t>
  </si>
  <si>
    <t>kpdwfs_sc2_id4_n800_b1240_sets38_k288_fully-correlated.txt</t>
  </si>
  <si>
    <t>kpdwfs_sc2_id5_n1000_b1550_sets42_k288_fully-correlated.txt</t>
  </si>
  <si>
    <t>kpdwfs_sc2_id5_n300_b465_sets38_k320_fully-correlated.txt</t>
  </si>
  <si>
    <t>kpdwfs_sc2_id5_n500_b775_sets35_k320_fully-correlated.txt</t>
  </si>
  <si>
    <t>kpdwfs_sc2_id5_n700_b1085_sets39_k320_fully-correlated.txt</t>
  </si>
  <si>
    <t>kpdwfs_sc2_id5_n800_b1240_sets33_k288_fully-correlated.txt</t>
  </si>
  <si>
    <t>kpdwfs_sc2_id6_n1000_b1550_sets41_k288_fully-correlated.txt</t>
  </si>
  <si>
    <t>kpdwfs_sc2_id6_n300_b465_sets34_k320_fully-correlated.txt</t>
  </si>
  <si>
    <t>kpdwfs_sc2_id6_n500_b775_sets34_k320_fully-correlated.txt</t>
  </si>
  <si>
    <t>kpdwfs_sc2_id6_n700_b1085_sets37_k320_fully-correlated.txt</t>
  </si>
  <si>
    <t>kpdwfs_sc2_id6_n800_b1240_sets40_k288_fully-correlated.txt</t>
  </si>
  <si>
    <t>kpdwfs_sc2_id7_n1000_b1550_sets46_k288_fully-correlated.txt</t>
  </si>
  <si>
    <t>kpdwfs_sc2_id7_n300_b465_sets36_k320_fully-correlated.txt</t>
  </si>
  <si>
    <t>kpdwfs_sc2_id7_n500_b775_sets45_k320_fully-correlated.txt</t>
  </si>
  <si>
    <t>kpdwfs_sc2_id7_n700_b1085_sets44_k320_fully-correlated.txt</t>
  </si>
  <si>
    <t>kpdwfs_sc2_id7_n800_b1240_sets36_k288_fully-correlated.txt</t>
  </si>
  <si>
    <t>kpdwfs_sc2_id8_n1000_b1550_sets40_k288_fully-correlated.txt</t>
  </si>
  <si>
    <t>kpdwfs_sc2_id8_n300_b465_sets34_k320_fully-correlated.txt</t>
  </si>
  <si>
    <t>kpdwfs_sc2_id8_n500_b775_sets33_k320_fully-correlated.txt</t>
  </si>
  <si>
    <t>kpdwfs_sc2_id8_n700_b1085_sets42_k320_fully-correlated.txt</t>
  </si>
  <si>
    <t>kpdwfs_sc2_id8_n800_b1240_sets38_k288_fully-correlated.txt</t>
  </si>
  <si>
    <t>kpdwfs_sc2_id9_n1000_b1550_sets40_k288_fully-correlated.txt</t>
  </si>
  <si>
    <t>kpdwfs_sc2_id9_n300_b465_sets31_k320_fully-correlated.txt</t>
  </si>
  <si>
    <t>kpdwfs_sc2_id9_n500_b775_sets33_k320_fully-correlated.txt</t>
  </si>
  <si>
    <t>kpdwfs_sc2_id9_n700_b1085_sets37_k320_fully-correlated.txt</t>
  </si>
  <si>
    <t>kpdwfs_sc2_id9_n800_b1240_sets41_k288_fully-correlated.txt</t>
  </si>
  <si>
    <t>kpdwfs_sc2_id10_n1000_b1550_sets40_k288_not-correlated.txt</t>
  </si>
  <si>
    <t>kpdwfs_sc2_id10_n300_b465_sets35_k320_not-correlated.txt</t>
  </si>
  <si>
    <t>kpdwfs_sc2_id10_n500_b775_sets37_k320_not-correlated.txt</t>
  </si>
  <si>
    <t>kpdwfs_sc2_id10_n700_b1085_sets39_k320_not-correlated.txt</t>
  </si>
  <si>
    <t>kpdwfs_sc2_id10_n800_b1240_sets36_k288_not-correlated.txt</t>
  </si>
  <si>
    <t>kpdwfs_sc2_id1_n1000_b1550_sets37_k288_not-correlated.txt</t>
  </si>
  <si>
    <t>kpdwfs_sc2_id1_n300_b465_sets35_k320_not-correlated.txt</t>
  </si>
  <si>
    <t>kpdwfs_sc2_id1_n500_b775_sets35_k320_not-correlated.txt</t>
  </si>
  <si>
    <t>kpdwfs_sc2_id1_n700_b1085_sets46_k320_not-correlated.txt</t>
  </si>
  <si>
    <t>kpdwfs_sc2_id1_n800_b1240_sets36_k288_not-correlated.txt</t>
  </si>
  <si>
    <t>kpdwfs_sc2_id2_n1000_b1550_sets36_k288_not-correlated.txt</t>
  </si>
  <si>
    <t>kpdwfs_sc2_id2_n300_b465_sets36_k320_not-correlated.txt</t>
  </si>
  <si>
    <t>kpdwfs_sc2_id2_n500_b775_sets35_k320_not-correlated.txt</t>
  </si>
  <si>
    <t>kpdwfs_sc2_id2_n700_b1085_sets37_k320_not-correlated.txt</t>
  </si>
  <si>
    <t>kpdwfs_sc2_id2_n800_b1240_sets41_k288_not-correlated.txt</t>
  </si>
  <si>
    <t>kpdwfs_sc2_id3_n1000_b1550_sets34_k288_not-correlated.txt</t>
  </si>
  <si>
    <t>kpdwfs_sc2_id3_n300_b465_sets35_k320_not-correlated.txt</t>
  </si>
  <si>
    <t>kpdwfs_sc2_id3_n500_b775_sets33_k320_not-correlated.txt</t>
  </si>
  <si>
    <t>kpdwfs_sc2_id3_n700_b1085_sets38_k320_not-correlated.txt</t>
  </si>
  <si>
    <t>kpdwfs_sc2_id3_n800_b1240_sets42_k288_not-correlated.txt</t>
  </si>
  <si>
    <t>kpdwfs_sc2_id4_n1000_b1550_sets45_k288_not-correlated.txt</t>
  </si>
  <si>
    <t>kpdwfs_sc2_id4_n300_b465_sets35_k320_not-correlated.txt</t>
  </si>
  <si>
    <t>kpdwfs_sc2_id4_n500_b775_sets39_k320_not-correlated.txt</t>
  </si>
  <si>
    <t>kpdwfs_sc2_id4_n700_b1085_sets35_k320_not-correlated.txt</t>
  </si>
  <si>
    <t>kpdwfs_sc2_id4_n800_b1240_sets35_k288_not-correlated.txt</t>
  </si>
  <si>
    <t>kpdwfs_sc2_id5_n1000_b1550_sets36_k288_not-correlated.txt</t>
  </si>
  <si>
    <t>kpdwfs_sc2_id5_n300_b465_sets40_k320_not-correlated.txt</t>
  </si>
  <si>
    <t>kpdwfs_sc2_id5_n500_b775_sets40_k320_not-correlated.txt</t>
  </si>
  <si>
    <t>kpdwfs_sc2_id5_n700_b1085_sets36_k320_not-correlated.txt</t>
  </si>
  <si>
    <t>kpdwfs_sc2_id5_n800_b1240_sets41_k288_not-correlated.txt</t>
  </si>
  <si>
    <t>kpdwfs_sc2_id6_n1000_b1550_sets40_k288_not-correlated.txt</t>
  </si>
  <si>
    <t>kpdwfs_sc2_id6_n300_b465_sets38_k320_not-correlated.txt</t>
  </si>
  <si>
    <t>kpdwfs_sc2_id6_n500_b775_sets38_k320_not-correlated.txt</t>
  </si>
  <si>
    <t>kpdwfs_sc2_id6_n700_b1085_sets35_k320_not-correlated.txt</t>
  </si>
  <si>
    <t>kpdwfs_sc2_id6_n800_b1240_sets41_k288_not-correlated.txt</t>
  </si>
  <si>
    <t>kpdwfs_sc2_id7_n1000_b1550_sets39_k288_not-correlated.txt</t>
  </si>
  <si>
    <t>kpdwfs_sc2_id7_n300_b465_sets33_k320_not-correlated.txt</t>
  </si>
  <si>
    <t>kpdwfs_sc2_id7_n500_b775_sets36_k320_not-correlated.txt</t>
  </si>
  <si>
    <t>kpdwfs_sc2_id7_n700_b1085_sets38_k320_not-correlated.txt</t>
  </si>
  <si>
    <t>kpdwfs_sc2_id7_n800_b1240_sets36_k288_not-correlated.txt</t>
  </si>
  <si>
    <t>kpdwfs_sc2_id8_n1000_b1550_sets33_k288_not-correlated.txt</t>
  </si>
  <si>
    <t>kpdwfs_sc2_id8_n300_b465_sets37_k320_not-correlated.txt</t>
  </si>
  <si>
    <t>kpdwfs_sc2_id8_n500_b775_sets32_k320_not-correlated.txt</t>
  </si>
  <si>
    <t>kpdwfs_sc2_id8_n700_b1085_sets36_k320_not-correlated.txt</t>
  </si>
  <si>
    <t>kpdwfs_sc2_id8_n800_b1240_sets41_k288_not-correlated.txt</t>
  </si>
  <si>
    <t>kpdwfs_sc2_id9_n1000_b1550_sets40_k288_not-correlated.txt</t>
  </si>
  <si>
    <t>kpdwfs_sc2_id9_n300_b465_sets33_k320_not-correlated.txt</t>
  </si>
  <si>
    <t>kpdwfs_sc2_id9_n500_b775_sets42_k320_not-correlated.txt</t>
  </si>
  <si>
    <t>kpdwfs_sc2_id9_n700_b1085_sets42_k320_not-correlated.txt</t>
  </si>
  <si>
    <t>kpdwfs_sc2_id9_n800_b1240_sets41_k288_not-correlated.txt</t>
  </si>
  <si>
    <t>kpdwfs_sc3_id10_n1000_b1550_sets89_k1072_correlated.txt</t>
  </si>
  <si>
    <t>kpdwfs_sc3_id10_n300_b465_sets77_k320_correlated.txt</t>
  </si>
  <si>
    <t>kpdwfs_sc3_id10_n500_b775_sets83_k528_correlated.txt</t>
  </si>
  <si>
    <t>kpdwfs_sc3_id10_n700_b1085_sets91_k752_correlated.txt</t>
  </si>
  <si>
    <t>kpdwfs_sc3_id10_n800_b1240_sets94_k848_correlated.txt</t>
  </si>
  <si>
    <t>kpdwfs_sc3_id1_n1000_b1550_sets89_k1072_correlated.txt</t>
  </si>
  <si>
    <t>kpdwfs_sc3_id1_n300_b465_sets74_k320_correlated.txt</t>
  </si>
  <si>
    <t>kpdwfs_sc3_id1_n500_b775_sets78_k528_correlated.txt</t>
  </si>
  <si>
    <t>kpdwfs_sc3_id1_n700_b1085_sets82_k752_correlated.txt</t>
  </si>
  <si>
    <t>kpdwfs_sc3_id1_n800_b1240_sets93_k848_correlated.txt</t>
  </si>
  <si>
    <t>kpdwfs_sc3_id2_n1000_b1550_sets96_k1072_correlated.txt</t>
  </si>
  <si>
    <t>kpdwfs_sc3_id2_n300_b465_sets79_k320_correlated.txt</t>
  </si>
  <si>
    <t>kpdwfs_sc3_id2_n500_b775_sets83_k528_correlated.txt</t>
  </si>
  <si>
    <t>kpdwfs_sc3_id2_n700_b1085_sets102_k752_correlated.txt</t>
  </si>
  <si>
    <t>kpdwfs_sc3_id2_n800_b1240_sets100_k848_correlated.txt</t>
  </si>
  <si>
    <t>kpdwfs_sc3_id3_n1000_b1550_sets89_k1072_correlated.txt</t>
  </si>
  <si>
    <t>kpdwfs_sc3_id3_n300_b465_sets76_k320_correlated.txt</t>
  </si>
  <si>
    <t>kpdwfs_sc3_id3_n500_b775_sets84_k528_correlated.txt</t>
  </si>
  <si>
    <t>kpdwfs_sc3_id3_n700_b1085_sets86_k752_correlated.txt</t>
  </si>
  <si>
    <t>kpdwfs_sc3_id3_n800_b1240_sets92_k848_correlated.txt</t>
  </si>
  <si>
    <t>kpdwfs_sc3_id4_n1000_b1550_sets90_k1072_correlated.txt</t>
  </si>
  <si>
    <t>kpdwfs_sc3_id4_n300_b465_sets78_k320_correlated.txt</t>
  </si>
  <si>
    <t>kpdwfs_sc3_id4_n500_b775_sets81_k528_correlated.txt</t>
  </si>
  <si>
    <t>kpdwfs_sc3_id4_n700_b1085_sets82_k752_correlated.txt</t>
  </si>
  <si>
    <t>kpdwfs_sc3_id4_n800_b1240_sets99_k848_correlated.txt</t>
  </si>
  <si>
    <t>kpdwfs_sc3_id5_n1000_b1550_sets84_k1072_correlated.txt</t>
  </si>
  <si>
    <t>kpdwfs_sc3_id5_n300_b465_sets75_k320_correlated.txt</t>
  </si>
  <si>
    <t>kpdwfs_sc3_id5_n500_b775_sets83_k528_correlated.txt</t>
  </si>
  <si>
    <t>kpdwfs_sc3_id5_n700_b1085_sets80_k752_correlated.txt</t>
  </si>
  <si>
    <t>kpdwfs_sc3_id5_n800_b1240_sets91_k848_correlated.txt</t>
  </si>
  <si>
    <t>kpdwfs_sc3_id6_n1000_b1550_sets91_k1072_correlated.txt</t>
  </si>
  <si>
    <t>kpdwfs_sc3_id6_n300_b465_sets78_k320_correlated.txt</t>
  </si>
  <si>
    <t>kpdwfs_sc3_id6_n500_b775_sets87_k528_correlated.txt</t>
  </si>
  <si>
    <t>kpdwfs_sc3_id6_n700_b1085_sets92_k752_correlated.txt</t>
  </si>
  <si>
    <t>kpdwfs_sc3_id6_n800_b1240_sets87_k848_correlated.txt</t>
  </si>
  <si>
    <t>kpdwfs_sc3_id7_n1000_b1550_sets96_k1072_correlated.txt</t>
  </si>
  <si>
    <t>kpdwfs_sc3_id7_n300_b465_sets78_k320_correlated.txt</t>
  </si>
  <si>
    <t>kpdwfs_sc3_id7_n500_b775_sets83_k528_correlated.txt</t>
  </si>
  <si>
    <t>kpdwfs_sc3_id7_n700_b1085_sets88_k752_correlated.txt</t>
  </si>
  <si>
    <t>kpdwfs_sc3_id7_n800_b1240_sets86_k848_correlated.txt</t>
  </si>
  <si>
    <t>kpdwfs_sc3_id8_n1000_b1550_sets93_k1072_correlated.txt</t>
  </si>
  <si>
    <t>kpdwfs_sc3_id8_n300_b465_sets76_k320_correlated.txt</t>
  </si>
  <si>
    <t>kpdwfs_sc3_id8_n500_b775_sets83_k528_correlated.txt</t>
  </si>
  <si>
    <t>kpdwfs_sc3_id8_n700_b1085_sets88_k752_correlated.txt</t>
  </si>
  <si>
    <t>kpdwfs_sc3_id8_n800_b1240_sets81_k848_correlated.txt</t>
  </si>
  <si>
    <t>kpdwfs_sc3_id9_n1000_b1550_sets85_k1072_correlated.txt</t>
  </si>
  <si>
    <t>kpdwfs_sc3_id9_n300_b465_sets74_k320_correlated.txt</t>
  </si>
  <si>
    <t>kpdwfs_sc3_id9_n500_b775_sets82_k528_correlated.txt</t>
  </si>
  <si>
    <t>kpdwfs_sc3_id9_n700_b1085_sets90_k752_correlated.txt</t>
  </si>
  <si>
    <t>kpdwfs_sc3_id9_n800_b1240_sets96_k848_correlated.txt</t>
  </si>
  <si>
    <t>kpdwfs_sc3_id10_n1000_b1550_sets96_k1072_fully-correlated.txt</t>
  </si>
  <si>
    <t>kpdwfs_sc3_id10_n300_b465_sets73_k320_fully-correlated.txt</t>
  </si>
  <si>
    <t>kpdwfs_sc3_id10_n500_b775_sets79_k528_fully-correlated.txt</t>
  </si>
  <si>
    <t>kpdwfs_sc3_id10_n700_b1085_sets82_k752_fully-correlated.txt</t>
  </si>
  <si>
    <t>kpdwfs_sc3_id10_n800_b1240_sets93_k848_fully-correlated.txt</t>
  </si>
  <si>
    <t>kpdwfs_sc3_id1_n1000_b1550_sets88_k1072_fully-correlated.txt</t>
  </si>
  <si>
    <t>kpdwfs_sc3_id1_n300_b465_sets78_k320_fully-correlated.txt</t>
  </si>
  <si>
    <t>kpdwfs_sc3_id1_n500_b775_sets87_k528_fully-correlated.txt</t>
  </si>
  <si>
    <t>kpdwfs_sc3_id1_n700_b1085_sets92_k752_fully-correlated.txt</t>
  </si>
  <si>
    <t>kpdwfs_sc3_id1_n800_b1240_sets94_k848_fully-correlated.txt</t>
  </si>
  <si>
    <t>kpdwfs_sc3_id2_n1000_b1550_sets85_k1072_fully-correlated.txt</t>
  </si>
  <si>
    <t>kpdwfs_sc3_id2_n300_b465_sets75_k320_fully-correlated.txt</t>
  </si>
  <si>
    <t>kpdwfs_sc3_id2_n500_b775_sets85_k528_fully-correlated.txt</t>
  </si>
  <si>
    <t>kpdwfs_sc3_id2_n700_b1085_sets84_k752_fully-correlated.txt</t>
  </si>
  <si>
    <t>kpdwfs_sc3_id2_n800_b1240_sets81_k848_fully-correlated.txt</t>
  </si>
  <si>
    <t>kpdwfs_sc3_id3_n1000_b1550_sets91_k1072_fully-correlated.txt</t>
  </si>
  <si>
    <t>kpdwfs_sc3_id3_n300_b465_sets78_k320_fully-correlated.txt</t>
  </si>
  <si>
    <t>kpdwfs_sc3_id3_n500_b775_sets88_k528_fully-correlated.txt</t>
  </si>
  <si>
    <t>kpdwfs_sc3_id3_n700_b1085_sets87_k752_fully-correlated.txt</t>
  </si>
  <si>
    <t>kpdwfs_sc3_id3_n800_b1240_sets93_k848_fully-correlated.txt</t>
  </si>
  <si>
    <t>kpdwfs_sc3_id4_n1000_b1550_sets113_k1072_fully-correlated.txt</t>
  </si>
  <si>
    <t>kpdwfs_sc3_id4_n300_b465_sets75_k320_fully-correlated.txt</t>
  </si>
  <si>
    <t>kpdwfs_sc3_id4_n500_b775_sets93_k528_fully-correlated.txt</t>
  </si>
  <si>
    <t>kpdwfs_sc3_id4_n700_b1085_sets83_k752_fully-correlated.txt</t>
  </si>
  <si>
    <t>kpdwfs_sc3_id4_n800_b1240_sets85_k848_fully-correlated.txt</t>
  </si>
  <si>
    <t>kpdwfs_sc3_id5_n1000_b1550_sets99_k1072_fully-correlated.txt</t>
  </si>
  <si>
    <t>kpdwfs_sc3_id5_n300_b465_sets78_k320_fully-correlated.txt</t>
  </si>
  <si>
    <t>kpdwfs_sc3_id5_n500_b775_sets79_k528_fully-correlated.txt</t>
  </si>
  <si>
    <t>kpdwfs_sc3_id5_n700_b1085_sets92_k752_fully-correlated.txt</t>
  </si>
  <si>
    <t>kpdwfs_sc3_id5_n800_b1240_sets86_k848_fully-correlated.txt</t>
  </si>
  <si>
    <t>kpdwfs_sc3_id6_n1000_b1550_sets95_k1072_fully-correlated.txt</t>
  </si>
  <si>
    <t>kpdwfs_sc3_id6_n300_b465_sets75_k320_fully-correlated.txt</t>
  </si>
  <si>
    <t>kpdwfs_sc3_id6_n500_b775_sets81_k528_fully-correlated.txt</t>
  </si>
  <si>
    <t>kpdwfs_sc3_id6_n700_b1085_sets89_k752_fully-correlated.txt</t>
  </si>
  <si>
    <t>kpdwfs_sc3_id6_n800_b1240_sets94_k848_fully-correlated.txt</t>
  </si>
  <si>
    <t>kpdwfs_sc3_id7_n1000_b1550_sets96_k1072_fully-correlated.txt</t>
  </si>
  <si>
    <t>kpdwfs_sc3_id7_n300_b465_sets78_k320_fully-correlated.txt</t>
  </si>
  <si>
    <t>kpdwfs_sc3_id7_n500_b775_sets93_k528_fully-correlated.txt</t>
  </si>
  <si>
    <t>kpdwfs_sc3_id7_n700_b1085_sets97_k752_fully-correlated.txt</t>
  </si>
  <si>
    <t>kpdwfs_sc3_id7_n800_b1240_sets86_k848_fully-correlated.txt</t>
  </si>
  <si>
    <t>kpdwfs_sc3_id8_n1000_b1550_sets94_k1072_fully-correlated.txt</t>
  </si>
  <si>
    <t>kpdwfs_sc3_id8_n300_b465_sets74_k320_fully-correlated.txt</t>
  </si>
  <si>
    <t>kpdwfs_sc3_id8_n500_b775_sets83_k528_fully-correlated.txt</t>
  </si>
  <si>
    <t>kpdwfs_sc3_id8_n700_b1085_sets94_k752_fully-correlated.txt</t>
  </si>
  <si>
    <t>kpdwfs_sc3_id8_n800_b1240_sets87_k848_fully-correlated.txt</t>
  </si>
  <si>
    <t>kpdwfs_sc3_id9_n1000_b1550_sets91_k1072_fully-correlated.txt</t>
  </si>
  <si>
    <t>kpdwfs_sc3_id9_n300_b465_sets72_k320_fully-correlated.txt</t>
  </si>
  <si>
    <t>kpdwfs_sc3_id9_n500_b775_sets78_k528_fully-correlated.txt</t>
  </si>
  <si>
    <t>kpdwfs_sc3_id9_n700_b1085_sets84_k752_fully-correlated.txt</t>
  </si>
  <si>
    <t>kpdwfs_sc3_id9_n800_b1240_sets92_k848_fully-correlated.txt</t>
  </si>
  <si>
    <t>kpdwfs_sc3_id10_n1000_b1550_sets93_k1072_not-correlated.txt</t>
  </si>
  <si>
    <t>kpdwfs_sc3_id10_n300_b465_sets78_k320_not-correlated.txt</t>
  </si>
  <si>
    <t>kpdwfs_sc3_id10_n500_b775_sets81_k528_not-correlated.txt</t>
  </si>
  <si>
    <t>kpdwfs_sc3_id10_n700_b1085_sets89_k752_not-correlated.txt</t>
  </si>
  <si>
    <t>kpdwfs_sc3_id10_n800_b1240_sets84_k848_not-correlated.txt</t>
  </si>
  <si>
    <t>kpdwfs_sc3_id1_n1000_b1550_sets89_k1072_not-correlated.txt</t>
  </si>
  <si>
    <t>kpdwfs_sc3_id1_n300_b465_sets76_k320_not-correlated.txt</t>
  </si>
  <si>
    <t>kpdwfs_sc3_id1_n500_b775_sets83_k528_not-correlated.txt</t>
  </si>
  <si>
    <t>kpdwfs_sc3_id1_n700_b1085_sets91_k752_not-correlated.txt</t>
  </si>
  <si>
    <t>kpdwfs_sc3_id1_n800_b1240_sets85_k848_not-correlated.txt</t>
  </si>
  <si>
    <t>kpdwfs_sc3_id2_n1000_b1550_sets87_k1072_not-correlated.txt</t>
  </si>
  <si>
    <t>kpdwfs_sc3_id2_n300_b465_sets74_k320_not-correlated.txt</t>
  </si>
  <si>
    <t>kpdwfs_sc3_id2_n500_b775_sets79_k528_not-correlated.txt</t>
  </si>
  <si>
    <t>kpdwfs_sc3_id2_n700_b1085_sets80_k752_not-correlated.txt</t>
  </si>
  <si>
    <t>kpdwfs_sc3_id2_n800_b1240_sets95_k848_not-correlated.txt</t>
  </si>
  <si>
    <t>kpdwfs_sc3_id3_n1000_b1550_sets88_k1072_not-correlated.txt</t>
  </si>
  <si>
    <t>kpdwfs_sc3_id3_n300_b465_sets74_k320_not-correlated.txt</t>
  </si>
  <si>
    <t>kpdwfs_sc3_id3_n500_b775_sets80_k528_not-correlated.txt</t>
  </si>
  <si>
    <t>kpdwfs_sc3_id3_n700_b1085_sets84_k752_not-correlated.txt</t>
  </si>
  <si>
    <t>kpdwfs_sc3_id3_n800_b1240_sets96_k848_not-correlated.txt</t>
  </si>
  <si>
    <t>kpdwfs_sc3_id4_n1000_b1550_sets97_k1072_not-correlated.txt</t>
  </si>
  <si>
    <t>kpdwfs_sc3_id4_n300_b465_sets77_k320_not-correlated.txt</t>
  </si>
  <si>
    <t>kpdwfs_sc3_id4_n500_b775_sets84_k528_not-correlated.txt</t>
  </si>
  <si>
    <t>kpdwfs_sc3_id4_n700_b1085_sets86_k752_not-correlated.txt</t>
  </si>
  <si>
    <t>kpdwfs_sc3_id4_n800_b1240_sets91_k848_not-correlated.txt</t>
  </si>
  <si>
    <t>kpdwfs_sc3_id5_n1000_b1550_sets90_k1072_not-correlated.txt</t>
  </si>
  <si>
    <t>kpdwfs_sc3_id5_n300_b465_sets78_k320_not-correlated.txt</t>
  </si>
  <si>
    <t>kpdwfs_sc3_id5_n500_b775_sets84_k528_not-correlated.txt</t>
  </si>
  <si>
    <t>kpdwfs_sc3_id5_n700_b1085_sets86_k752_not-correlated.txt</t>
  </si>
  <si>
    <t>kpdwfs_sc3_id5_n800_b1240_sets86_k848_not-correlated.txt</t>
  </si>
  <si>
    <t>kpdwfs_sc3_id6_n1000_b1550_sets93_k1072_not-correlated.txt</t>
  </si>
  <si>
    <t>kpdwfs_sc3_id6_n300_b465_sets79_k320_not-correlated.txt</t>
  </si>
  <si>
    <t>kpdwfs_sc3_id6_n500_b775_sets89_k528_not-correlated.txt</t>
  </si>
  <si>
    <t>kpdwfs_sc3_id6_n700_b1085_sets84_k752_not-correlated.txt</t>
  </si>
  <si>
    <t>kpdwfs_sc3_id6_n800_b1240_sets88_k848_not-correlated.txt</t>
  </si>
  <si>
    <t>kpdwfs_sc3_id7_n1000_b1550_sets87_k1072_not-correlated.txt</t>
  </si>
  <si>
    <t>kpdwfs_sc3_id7_n300_b465_sets73_k320_not-correlated.txt</t>
  </si>
  <si>
    <t>kpdwfs_sc3_id7_n500_b775_sets75_k528_not-correlated.txt</t>
  </si>
  <si>
    <t>kpdwfs_sc3_id7_n700_b1085_sets86_k752_not-correlated.txt</t>
  </si>
  <si>
    <t>kpdwfs_sc3_id7_n800_b1240_sets89_k848_not-correlated.txt</t>
  </si>
  <si>
    <t>kpdwfs_sc3_id8_n1000_b1550_sets86_k1072_not-correlated.txt</t>
  </si>
  <si>
    <t>kpdwfs_sc3_id8_n300_b465_sets77_k320_not-correlated.txt</t>
  </si>
  <si>
    <t>kpdwfs_sc3_id8_n500_b775_sets75_k528_not-correlated.txt</t>
  </si>
  <si>
    <t>kpdwfs_sc3_id8_n700_b1085_sets84_k752_not-correlated.txt</t>
  </si>
  <si>
    <t>kpdwfs_sc3_id8_n800_b1240_sets88_k848_not-correlated.txt</t>
  </si>
  <si>
    <t>kpdwfs_sc3_id9_n1000_b1550_sets85_k1072_not-correlated.txt</t>
  </si>
  <si>
    <t>kpdwfs_sc3_id9_n300_b465_sets72_k320_not-correlated.txt</t>
  </si>
  <si>
    <t>kpdwfs_sc3_id9_n500_b775_sets87_k528_not-correlated.txt</t>
  </si>
  <si>
    <t>kpdwfs_sc3_id9_n700_b1085_sets93_k752_not-correlated.txt</t>
  </si>
  <si>
    <t>kpdwfs_sc3_id9_n800_b1240_sets93_k848_not-correlated.txt</t>
  </si>
  <si>
    <t>kpdwfs_sc4_id10_n1000_b1550_sets36_k1072_correlated.txt</t>
  </si>
  <si>
    <t>kpdwfs_sc4_id10_n300_b465_sets33_k320_correlated.txt</t>
  </si>
  <si>
    <t>kpdwfs_sc4_id10_n500_b775_sets38_k528_correlated.txt</t>
  </si>
  <si>
    <t>kpdwfs_sc4_id10_n700_b1085_sets40_k752_correlated.txt</t>
  </si>
  <si>
    <t>kpdwfs_sc4_id10_n800_b1240_sets38_k848_correlated.txt</t>
  </si>
  <si>
    <t>kpdwfs_sc4_id1_n1000_b1550_sets40_k1072_correlated.txt</t>
  </si>
  <si>
    <t>kpdwfs_sc4_id1_n300_b465_sets32_k320_correlated.txt</t>
  </si>
  <si>
    <t>kpdwfs_sc4_id1_n500_b775_sets35_k528_correlated.txt</t>
  </si>
  <si>
    <t>kpdwfs_sc4_id1_n700_b1085_sets36_k752_correlated.txt</t>
  </si>
  <si>
    <t>kpdwfs_sc4_id1_n800_b1240_sets38_k848_correlated.txt</t>
  </si>
  <si>
    <t>kpdwfs_sc4_id2_n1000_b1550_sets42_k1072_correlated.txt</t>
  </si>
  <si>
    <t>kpdwfs_sc4_id2_n300_b465_sets33_k320_correlated.txt</t>
  </si>
  <si>
    <t>kpdwfs_sc4_id2_n500_b775_sets40_k528_correlated.txt</t>
  </si>
  <si>
    <t>kpdwfs_sc4_id2_n700_b1085_sets44_k752_correlated.txt</t>
  </si>
  <si>
    <t>kpdwfs_sc4_id2_n800_b1240_sets47_k848_correlated.txt</t>
  </si>
  <si>
    <t>kpdwfs_sc4_id3_n1000_b1550_sets38_k1072_correlated.txt</t>
  </si>
  <si>
    <t>kpdwfs_sc4_id3_n300_b465_sets37_k320_correlated.txt</t>
  </si>
  <si>
    <t>kpdwfs_sc4_id3_n500_b775_sets36_k528_correlated.txt</t>
  </si>
  <si>
    <t>kpdwfs_sc4_id3_n700_b1085_sets36_k752_correlated.txt</t>
  </si>
  <si>
    <t>kpdwfs_sc4_id3_n800_b1240_sets40_k848_correlated.txt</t>
  </si>
  <si>
    <t>kpdwfs_sc4_id4_n1000_b1550_sets41_k1072_correlated.txt</t>
  </si>
  <si>
    <t>kpdwfs_sc4_id4_n300_b465_sets39_k320_correlated.txt</t>
  </si>
  <si>
    <t>kpdwfs_sc4_id4_n500_b775_sets32_k528_correlated.txt</t>
  </si>
  <si>
    <t>kpdwfs_sc4_id4_n700_b1085_sets33_k752_correlated.txt</t>
  </si>
  <si>
    <t>kpdwfs_sc4_id4_n800_b1240_sets44_k848_correlated.txt</t>
  </si>
  <si>
    <t>kpdwfs_sc4_id5_n1000_b1550_sets39_k1072_correlated.txt</t>
  </si>
  <si>
    <t>kpdwfs_sc4_id5_n300_b465_sets42_k320_correlated.txt</t>
  </si>
  <si>
    <t>kpdwfs_sc4_id5_n500_b775_sets36_k528_correlated.txt</t>
  </si>
  <si>
    <t>kpdwfs_sc4_id5_n700_b1085_sets36_k752_correlated.txt</t>
  </si>
  <si>
    <t>kpdwfs_sc4_id5_n800_b1240_sets43_k848_correlated.txt</t>
  </si>
  <si>
    <t>kpdwfs_sc4_id6_n1000_b1550_sets40_k1072_correlated.txt</t>
  </si>
  <si>
    <t>kpdwfs_sc4_id6_n300_b465_sets39_k320_correlated.txt</t>
  </si>
  <si>
    <t>kpdwfs_sc4_id6_n500_b775_sets41_k528_correlated.txt</t>
  </si>
  <si>
    <t>kpdwfs_sc4_id6_n700_b1085_sets43_k752_correlated.txt</t>
  </si>
  <si>
    <t>kpdwfs_sc4_id6_n800_b1240_sets36_k848_correlated.txt</t>
  </si>
  <si>
    <t>kpdwfs_sc4_id7_n1000_b1550_sets44_k1072_correlated.txt</t>
  </si>
  <si>
    <t>kpdwfs_sc4_id7_n300_b465_sets34_k320_correlated.txt</t>
  </si>
  <si>
    <t>kpdwfs_sc4_id7_n500_b775_sets37_k528_correlated.txt</t>
  </si>
  <si>
    <t>kpdwfs_sc4_id7_n700_b1085_sets39_k752_correlated.txt</t>
  </si>
  <si>
    <t>kpdwfs_sc4_id7_n800_b1240_sets35_k848_correlated.txt</t>
  </si>
  <si>
    <t>kpdwfs_sc4_id8_n1000_b1550_sets38_k1072_correlated.txt</t>
  </si>
  <si>
    <t>kpdwfs_sc4_id8_n300_b465_sets35_k320_correlated.txt</t>
  </si>
  <si>
    <t>kpdwfs_sc4_id8_n500_b775_sets36_k528_correlated.txt</t>
  </si>
  <si>
    <t>kpdwfs_sc4_id8_n700_b1085_sets35_k752_correlated.txt</t>
  </si>
  <si>
    <t>kpdwfs_sc4_id8_n800_b1240_sets38_k848_correlated.txt</t>
  </si>
  <si>
    <t>kpdwfs_sc4_id9_n1000_b1550_sets35_k1072_correlated.txt</t>
  </si>
  <si>
    <t>kpdwfs_sc4_id9_n300_b465_sets34_k320_correlated.txt</t>
  </si>
  <si>
    <t>kpdwfs_sc4_id9_n500_b775_sets36_k528_correlated.txt</t>
  </si>
  <si>
    <t>kpdwfs_sc4_id9_n700_b1085_sets38_k752_correlated.txt</t>
  </si>
  <si>
    <t>kpdwfs_sc4_id9_n800_b1240_sets36_k848_correlated.txt</t>
  </si>
  <si>
    <t>kpdwfs_sc4_id10_n1000_b1550_sets41_k1072_fully-correlated.txt</t>
  </si>
  <si>
    <t>kpdwfs_sc4_id10_n300_b465_sets30_k320_fully-correlated.txt</t>
  </si>
  <si>
    <t>kpdwfs_sc4_id10_n500_b775_sets35_k528_fully-correlated.txt</t>
  </si>
  <si>
    <t>kpdwfs_sc4_id10_n700_b1085_sets34_k752_fully-correlated.txt</t>
  </si>
  <si>
    <t>kpdwfs_sc4_id10_n800_b1240_sets41_k848_fully-correlated.txt</t>
  </si>
  <si>
    <t>kpdwfs_sc4_id1_n1000_b1550_sets37_k1072_fully-correlated.txt</t>
  </si>
  <si>
    <t>kpdwfs_sc4_id1_n300_b465_sets39_k320_fully-correlated.txt</t>
  </si>
  <si>
    <t>kpdwfs_sc4_id1_n500_b775_sets40_k528_fully-correlated.txt</t>
  </si>
  <si>
    <t>kpdwfs_sc4_id1_n700_b1085_sets36_k752_fully-correlated.txt</t>
  </si>
  <si>
    <t>kpdwfs_sc4_id1_n800_b1240_sets41_k848_fully-correlated.txt</t>
  </si>
  <si>
    <t>kpdwfs_sc4_id2_n1000_b1550_sets35_k1072_fully-correlated.txt</t>
  </si>
  <si>
    <t>kpdwfs_sc4_id2_n300_b465_sets34_k320_fully-correlated.txt</t>
  </si>
  <si>
    <t>kpdwfs_sc4_id2_n500_b775_sets39_k528_fully-correlated.txt</t>
  </si>
  <si>
    <t>kpdwfs_sc4_id2_n700_b1085_sets40_k752_fully-correlated.txt</t>
  </si>
  <si>
    <t>kpdwfs_sc4_id2_n800_b1240_sets31_k848_fully-correlated.txt</t>
  </si>
  <si>
    <t>kpdwfs_sc4_id3_n1000_b1550_sets42_k1072_fully-correlated.txt</t>
  </si>
  <si>
    <t>kpdwfs_sc4_id3_n300_b465_sets34_k320_fully-correlated.txt</t>
  </si>
  <si>
    <t>kpdwfs_sc4_id3_n500_b775_sets39_k528_fully-correlated.txt</t>
  </si>
  <si>
    <t>kpdwfs_sc4_id3_n700_b1085_sets40_k752_fully-correlated.txt</t>
  </si>
  <si>
    <t>kpdwfs_sc4_id3_n800_b1240_sets40_k848_fully-correlated.txt</t>
  </si>
  <si>
    <t>kpdwfs_sc4_id4_n1000_b1550_sets53_k1072_fully-correlated.txt</t>
  </si>
  <si>
    <t>kpdwfs_sc4_id4_n300_b465_sets36_k320_fully-correlated.txt</t>
  </si>
  <si>
    <t>kpdwfs_sc4_id4_n500_b775_sets44_k528_fully-correlated.txt</t>
  </si>
  <si>
    <t>kpdwfs_sc4_id4_n700_b1085_sets33_k752_fully-correlated.txt</t>
  </si>
  <si>
    <t>kpdwfs_sc4_id4_n800_b1240_sets38_k848_fully-correlated.txt</t>
  </si>
  <si>
    <t>kpdwfs_sc4_id5_n1000_b1550_sets42_k1072_fully-correlated.txt</t>
  </si>
  <si>
    <t>kpdwfs_sc4_id5_n300_b465_sets38_k320_fully-correlated.txt</t>
  </si>
  <si>
    <t>kpdwfs_sc4_id5_n500_b775_sets35_k528_fully-correlated.txt</t>
  </si>
  <si>
    <t>kpdwfs_sc4_id5_n700_b1085_sets39_k752_fully-correlated.txt</t>
  </si>
  <si>
    <t>kpdwfs_sc4_id5_n800_b1240_sets33_k848_fully-correlated.txt</t>
  </si>
  <si>
    <t>kpdwfs_sc4_id6_n1000_b1550_sets41_k1072_fully-correlated.txt</t>
  </si>
  <si>
    <t>kpdwfs_sc4_id6_n300_b465_sets34_k320_fully-correlated.txt</t>
  </si>
  <si>
    <t>kpdwfs_sc4_id6_n500_b775_sets34_k528_fully-correlated.txt</t>
  </si>
  <si>
    <t>kpdwfs_sc4_id6_n700_b1085_sets37_k752_fully-correlated.txt</t>
  </si>
  <si>
    <t>kpdwfs_sc4_id6_n800_b1240_sets40_k848_fully-correlated.txt</t>
  </si>
  <si>
    <t>kpdwfs_sc4_id7_n1000_b1550_sets46_k1072_fully-correlated.txt</t>
  </si>
  <si>
    <t>kpdwfs_sc4_id7_n300_b465_sets36_k320_fully-correlated.txt</t>
  </si>
  <si>
    <t>kpdwfs_sc4_id7_n500_b775_sets45_k528_fully-correlated.txt</t>
  </si>
  <si>
    <t>kpdwfs_sc4_id7_n700_b1085_sets44_k752_fully-correlated.txt</t>
  </si>
  <si>
    <t>kpdwfs_sc4_id7_n800_b1240_sets36_k848_fully-correlated.txt</t>
  </si>
  <si>
    <t>kpdwfs_sc4_id8_n1000_b1550_sets40_k1072_fully-correlated.txt</t>
  </si>
  <si>
    <t>kpdwfs_sc4_id8_n300_b465_sets34_k320_fully-correlated.txt</t>
  </si>
  <si>
    <t>kpdwfs_sc4_id8_n500_b775_sets33_k528_fully-correlated.txt</t>
  </si>
  <si>
    <t>kpdwfs_sc4_id8_n700_b1085_sets42_k752_fully-correlated.txt</t>
  </si>
  <si>
    <t>kpdwfs_sc4_id8_n800_b1240_sets38_k848_fully-correlated.txt</t>
  </si>
  <si>
    <t>kpdwfs_sc4_id9_n1000_b1550_sets40_k1072_fully-correlated.txt</t>
  </si>
  <si>
    <t>kpdwfs_sc4_id9_n300_b465_sets31_k320_fully-correlated.txt</t>
  </si>
  <si>
    <t>kpdwfs_sc4_id9_n500_b775_sets33_k528_fully-correlated.txt</t>
  </si>
  <si>
    <t>kpdwfs_sc4_id9_n700_b1085_sets37_k752_fully-correlated.txt</t>
  </si>
  <si>
    <t>kpdwfs_sc4_id9_n800_b1240_sets41_k848_fully-correlated.txt</t>
  </si>
  <si>
    <t>kpdwfs_sc4_id10_n1000_b1550_sets40_k1072_not-correlated.txt</t>
  </si>
  <si>
    <t>kpdwfs_sc4_id10_n300_b465_sets35_k320_not-correlated.txt</t>
  </si>
  <si>
    <t>kpdwfs_sc4_id10_n500_b775_sets37_k528_not-correlated.txt</t>
  </si>
  <si>
    <t>kpdwfs_sc4_id10_n700_b1085_sets39_k752_not-correlated.txt</t>
  </si>
  <si>
    <t>kpdwfs_sc4_id10_n800_b1240_sets36_k848_not-correlated.txt</t>
  </si>
  <si>
    <t>kpdwfs_sc4_id1_n1000_b1550_sets37_k1072_not-correlated.txt</t>
  </si>
  <si>
    <t>kpdwfs_sc4_id1_n300_b465_sets35_k320_not-correlated.txt</t>
  </si>
  <si>
    <t>kpdwfs_sc4_id1_n500_b775_sets35_k528_not-correlated.txt</t>
  </si>
  <si>
    <t>kpdwfs_sc4_id1_n700_b1085_sets46_k752_not-correlated.txt</t>
  </si>
  <si>
    <t>kpdwfs_sc4_id1_n800_b1240_sets36_k848_not-correlated.txt</t>
  </si>
  <si>
    <t>kpdwfs_sc4_id2_n1000_b1550_sets36_k1072_not-correlated.txt</t>
  </si>
  <si>
    <t>kpdwfs_sc4_id2_n300_b465_sets36_k320_not-correlated.txt</t>
  </si>
  <si>
    <t>kpdwfs_sc4_id2_n500_b775_sets35_k528_not-correlated.txt</t>
  </si>
  <si>
    <t>kpdwfs_sc4_id2_n700_b1085_sets37_k752_not-correlated.txt</t>
  </si>
  <si>
    <t>kpdwfs_sc4_id2_n800_b1240_sets41_k848_not-correlated.txt</t>
  </si>
  <si>
    <t>kpdwfs_sc4_id3_n1000_b1550_sets34_k1072_not-correlated.txt</t>
  </si>
  <si>
    <t>kpdwfs_sc4_id3_n300_b465_sets35_k320_not-correlated.txt</t>
  </si>
  <si>
    <t>kpdwfs_sc4_id3_n500_b775_sets33_k528_not-correlated.txt</t>
  </si>
  <si>
    <t>kpdwfs_sc4_id3_n700_b1085_sets38_k752_not-correlated.txt</t>
  </si>
  <si>
    <t>kpdwfs_sc4_id3_n800_b1240_sets42_k848_not-correlated.txt</t>
  </si>
  <si>
    <t>kpdwfs_sc4_id4_n1000_b1550_sets45_k1072_not-correlated.txt</t>
  </si>
  <si>
    <t>kpdwfs_sc4_id4_n300_b465_sets35_k320_not-correlated.txt</t>
  </si>
  <si>
    <t>kpdwfs_sc4_id4_n500_b775_sets39_k528_not-correlated.txt</t>
  </si>
  <si>
    <t>kpdwfs_sc4_id4_n700_b1085_sets35_k752_not-correlated.txt</t>
  </si>
  <si>
    <t>kpdwfs_sc4_id4_n800_b1240_sets35_k848_not-correlated.txt</t>
  </si>
  <si>
    <t>kpdwfs_sc4_id5_n1000_b1550_sets36_k1072_not-correlated.txt</t>
  </si>
  <si>
    <t>kpdwfs_sc4_id5_n300_b465_sets40_k320_not-correlated.txt</t>
  </si>
  <si>
    <t>kpdwfs_sc4_id5_n500_b775_sets40_k528_not-correlated.txt</t>
  </si>
  <si>
    <t>kpdwfs_sc4_id5_n700_b1085_sets36_k752_not-correlated.txt</t>
  </si>
  <si>
    <t>kpdwfs_sc4_id5_n800_b1240_sets41_k848_not-correlated.txt</t>
  </si>
  <si>
    <t>kpdwfs_sc4_id6_n1000_b1550_sets40_k1072_not-correlated.txt</t>
  </si>
  <si>
    <t>kpdwfs_sc4_id6_n300_b465_sets38_k320_not-correlated.txt</t>
  </si>
  <si>
    <t>kpdwfs_sc4_id6_n500_b775_sets38_k528_not-correlated.txt</t>
  </si>
  <si>
    <t>kpdwfs_sc4_id6_n700_b1085_sets35_k752_not-correlated.txt</t>
  </si>
  <si>
    <t>kpdwfs_sc4_id6_n800_b1240_sets41_k848_not-correlated.txt</t>
  </si>
  <si>
    <t>kpdwfs_sc4_id7_n1000_b1550_sets39_k1072_not-correlated.txt</t>
  </si>
  <si>
    <t>kpdwfs_sc4_id7_n300_b465_sets33_k320_not-correlated.txt</t>
  </si>
  <si>
    <t>kpdwfs_sc4_id7_n500_b775_sets36_k528_not-correlated.txt</t>
  </si>
  <si>
    <t>kpdwfs_sc4_id7_n700_b1085_sets38_k752_not-correlated.txt</t>
  </si>
  <si>
    <t>kpdwfs_sc4_id7_n800_b1240_sets36_k848_not-correlated.txt</t>
  </si>
  <si>
    <t>kpdwfs_sc4_id8_n1000_b1550_sets33_k1072_not-correlated.txt</t>
  </si>
  <si>
    <t>kpdwfs_sc4_id8_n300_b465_sets37_k320_not-correlated.txt</t>
  </si>
  <si>
    <t>kpdwfs_sc4_id8_n500_b775_sets32_k528_not-correlated.txt</t>
  </si>
  <si>
    <t>kpdwfs_sc4_id8_n700_b1085_sets36_k752_not-correlated.txt</t>
  </si>
  <si>
    <t>kpdwfs_sc4_id8_n800_b1240_sets41_k848_not-correlated.txt</t>
  </si>
  <si>
    <t>kpdwfs_sc4_id9_n1000_b1550_sets40_k1072_not-correlated.txt</t>
  </si>
  <si>
    <t>kpdwfs_sc4_id9_n300_b465_sets33_k320_not-correlated.txt</t>
  </si>
  <si>
    <t>kpdwfs_sc4_id9_n500_b775_sets42_k528_not-correlated.txt</t>
  </si>
  <si>
    <t>kpdwfs_sc4_id9_n700_b1085_sets42_k752_not-correlated.txt</t>
  </si>
  <si>
    <t>kpdwfs_sc4_id9_n800_b1240_sets41_k848_not-correlated.txt</t>
  </si>
  <si>
    <t>DP vs Gurobi — Comparison Analysis</t>
  </si>
  <si>
    <t>1. OBJECTIVE VALUE CHECK</t>
  </si>
  <si>
    <t>Total instances compared:</t>
  </si>
  <si>
    <t>Mismatches found:</t>
  </si>
  <si>
    <t>Verdict:</t>
  </si>
  <si>
    <t>2. OVERALL RUNTIME COMPARISON</t>
  </si>
  <si>
    <t>Solver</t>
  </si>
  <si>
    <t>Mean (s)</t>
  </si>
  <si>
    <t>Median (s)</t>
  </si>
  <si>
    <t>Std Dev (s)</t>
  </si>
  <si>
    <t>Min (s)</t>
  </si>
  <si>
    <t>Max (s)</t>
  </si>
  <si>
    <t>N</t>
  </si>
  <si>
    <t>DP</t>
  </si>
  <si>
    <t>Gurobi</t>
  </si>
  <si>
    <t>Speedup (DP/Gurobi)</t>
  </si>
  <si>
    <t>3. RUNTIME BY SCENARIO</t>
  </si>
  <si>
    <t>Scenario</t>
  </si>
  <si>
    <t>Count</t>
  </si>
  <si>
    <t>DP Mean (s)</t>
  </si>
  <si>
    <t>DP Median (s)</t>
  </si>
  <si>
    <t>Gurobi Mean (s)</t>
  </si>
  <si>
    <t>Gurobi Median (s)</t>
  </si>
  <si>
    <t>Speedup Mean</t>
  </si>
  <si>
    <t>Speedup Median</t>
  </si>
  <si>
    <t>scenario 1</t>
  </si>
  <si>
    <t>scenario 2</t>
  </si>
  <si>
    <t>scenario 3</t>
  </si>
  <si>
    <t>scenario 4</t>
  </si>
  <si>
    <t>4. RUNTIME BY CORRELATION TYPE</t>
  </si>
  <si>
    <t>Correlation Type</t>
  </si>
  <si>
    <t>correlated</t>
  </si>
  <si>
    <t>fully-correlated</t>
  </si>
  <si>
    <t>not-correlated</t>
  </si>
  <si>
    <t>5. RUNTIME BY SCENARIO × CORRELATION TYPE</t>
  </si>
  <si>
    <t>DP Mean Runtime (s)</t>
  </si>
  <si>
    <t>Gurobi Mean Runtime (s)</t>
  </si>
  <si>
    <t>6. TABLE 3.1: Running time (s) DP algorithm vs Gurobi</t>
  </si>
  <si>
    <t>Inst. group</t>
  </si>
  <si>
    <t>Scenario 1</t>
  </si>
  <si>
    <t>Scenario 2</t>
  </si>
  <si>
    <t>Scenario 3</t>
  </si>
  <si>
    <t>Scenario 4</t>
  </si>
  <si>
    <t>corr_type_full</t>
  </si>
  <si>
    <t>s1</t>
  </si>
  <si>
    <t>s2</t>
  </si>
  <si>
    <t>s3</t>
  </si>
  <si>
    <t>s4</t>
  </si>
  <si>
    <t>Type</t>
  </si>
  <si>
    <t>Helper →</t>
  </si>
  <si>
    <t>sets</t>
  </si>
  <si>
    <t>k</t>
  </si>
  <si>
    <t>8. OLS REGRESSION — Difference vs. drivers</t>
  </si>
  <si>
    <t>Dependent variable: Difference (gurobi_time − dp_time, seconds). Sample: 598 instances where both solvers returned a result. NC = baseline correlation category.</t>
  </si>
  <si>
    <t>Note: b is dropped because b≈1.55·n (perfect collinearity). Scenario is dropped because k is the underlying driver (sc1/sc2 → low k, sc3/sc4 → high k).</t>
  </si>
  <si>
    <t>Model A — Linear, all 598 observations</t>
  </si>
  <si>
    <t>Variable</t>
  </si>
  <si>
    <t>Coefficient</t>
  </si>
  <si>
    <t>Std. Error</t>
  </si>
  <si>
    <t>t-stat</t>
  </si>
  <si>
    <t>p-value</t>
  </si>
  <si>
    <t>Sig.</t>
  </si>
  <si>
    <t>Intercept</t>
  </si>
  <si>
    <t>***</t>
  </si>
  <si>
    <t>isFC (fully-correlated)</t>
  </si>
  <si>
    <t>isC (correlated)</t>
  </si>
  <si>
    <t>N = 598   |   R² = 0.0397   |   Adj. R² = 0.0316   |   F = 4.90   |   Residual SD = 145.10 s</t>
  </si>
  <si>
    <t>Interpretation: only k is significant. R² is very low because the case sc3_id4 (Difference = +3397 s) is a massive outlier that dominates total variance.</t>
  </si>
  <si>
    <t>Model B — Linear, excluding the single extreme outlier (|Difference| &gt; 1000 s)</t>
  </si>
  <si>
    <t>One observation dropped: kpdwfs_sc3_id4_n1000_b1550_sets113_k1072_fully-correlated (Difference = +3397 s).</t>
  </si>
  <si>
    <t>*</t>
  </si>
  <si>
    <t>N = 597   |   R² = 0.7301   |   Adj. R² = 0.7278   |   F = 319.68   |   Residual SD = 24.19 s</t>
  </si>
  <si>
    <t>Significance: *** p&lt;0.001, ** p&lt;0.01, * p&lt;0.05</t>
  </si>
  <si>
    <t>Interpretation</t>
  </si>
  <si>
    <t>• k is the dominant driver: every +1 unit of k decreases Difference by 0.125 s (Gurobi pulls ahead by 0.125 s). Across the k range 288–1072, that is ~98 s of additional Gurobi advantage.</t>
  </si>
  <si>
    <t>• n adds an independent effect: every +1 item lowers Difference by 0.042 s. Across n=300→1000, that is ~29 s of additional Gurobi advantage on top of k.</t>
  </si>
  <si>
    <t>• sets is mildly significant and negative (−0.095 s per set) — once the outlier is removed, having more sets does not hurt Gurobi systematically.</t>
  </si>
  <si>
    <t>• Correlation dummies (isFC, isC) are not significant. Correlation type does not have a linear average effect; it only matters through the rare extreme Gurobi blow-up (the dropped outlier).</t>
  </si>
  <si>
    <t>• R² = 0.73 (Model B) vs. 0.04 (Model A) confirms that a single fully-correlated instance carries most of the unpredictable variance — the rest of the dataset is well explained by n and k alone.</t>
  </si>
  <si>
    <t>• Caveat: the negative intercept gradient implies DP’s O(n·k) cost grows linearly here. A log–log or interaction model would fit even better, but the linear OLS is already strongly significant for the two key drivers.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</si>
</sst>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&quot;x&quot;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b/>
      <sz val="12"/>
      <color rgb="FF2E75B6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1"/>
      <color rgb="FFC00000"/>
      <name val="Aptos Narrow"/>
      <family val="2"/>
      <scheme val="minor"/>
    </font>
    <font>
      <i/>
      <sz val="11"/>
      <color rgb="FF999999"/>
      <name val="Aptos Narrow"/>
      <family val="2"/>
      <scheme val="minor"/>
    </font>
    <font>
      <b/>
      <i/>
      <sz val="11"/>
      <color rgb="FF999999"/>
      <name val="Aptos Narrow"/>
      <family val="2"/>
      <scheme val="minor"/>
    </font>
    <font>
      <sz val="11"/>
      <color rgb="FF999999"/>
      <name val="Aptos Narrow"/>
      <family val="2"/>
      <scheme val="minor"/>
    </font>
    <font>
      <sz val="11"/>
      <color rgb="FF2E75B6"/>
      <name val="Aptos Narrow"/>
      <family val="2"/>
      <scheme val="minor"/>
    </font>
    <font>
      <sz val="12"/>
      <color rgb="FF2E75B6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6E4F0"/>
        <bgColor indexed="64"/>
      </patternFill>
    </fill>
    <fill>
      <patternFill patternType="solid">
        <fgColor rgb="FFE9EFF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0" borderId="0" xfId="0" applyFont="1"/>
    <xf numFmtId="0" fontId="19" fillId="0" borderId="0" xfId="0" applyFont="1"/>
    <xf numFmtId="0" fontId="16" fillId="0" borderId="0" xfId="0" applyFont="1"/>
    <xf numFmtId="0" fontId="20" fillId="0" borderId="0" xfId="0" applyFont="1"/>
    <xf numFmtId="0" fontId="16" fillId="33" borderId="0" xfId="0" applyFont="1" applyFill="1"/>
    <xf numFmtId="0" fontId="16" fillId="33" borderId="0" xfId="0" applyFont="1" applyFill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166" fontId="20" fillId="0" borderId="0" xfId="0" applyNumberFormat="1" applyFont="1" applyAlignment="1">
      <alignment horizontal="center"/>
    </xf>
    <xf numFmtId="166" fontId="16" fillId="0" borderId="0" xfId="0" applyNumberFormat="1" applyFont="1" applyAlignment="1">
      <alignment horizontal="center"/>
    </xf>
    <xf numFmtId="0" fontId="21" fillId="0" borderId="0" xfId="0" applyFont="1"/>
    <xf numFmtId="0" fontId="0" fillId="33" borderId="0" xfId="0" applyFill="1"/>
    <xf numFmtId="0" fontId="21" fillId="33" borderId="0" xfId="0" applyFont="1" applyFill="1"/>
    <xf numFmtId="0" fontId="22" fillId="33" borderId="0" xfId="0" applyFont="1" applyFill="1"/>
    <xf numFmtId="0" fontId="19" fillId="33" borderId="0" xfId="0" applyFont="1" applyFill="1"/>
    <xf numFmtId="0" fontId="23" fillId="0" borderId="0" xfId="0" applyFont="1"/>
    <xf numFmtId="0" fontId="21" fillId="34" borderId="0" xfId="0" applyFont="1" applyFill="1" applyAlignment="1">
      <alignment horizontal="center"/>
    </xf>
    <xf numFmtId="0" fontId="24" fillId="34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2EDE5CB-BF34-49D5-A08E-04FCF7CFC004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cd48494-a595-4813-ba80-a1cd3c50ddb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59F58-D4E0-4119-9EA9-203284EFEBCF}">
  <dimension ref="A1:J601"/>
  <sheetViews>
    <sheetView tabSelected="1" workbookViewId="0">
      <selection activeCell="I2" sqref="I2"/>
    </sheetView>
  </sheetViews>
  <sheetFormatPr defaultRowHeight="15" x14ac:dyDescent="0.25"/>
  <cols>
    <col min="1" max="1" width="58.42578125" bestFit="1" customWidth="1"/>
    <col min="2" max="2" width="11" bestFit="1" customWidth="1"/>
    <col min="3" max="3" width="6.85546875" bestFit="1" customWidth="1"/>
    <col min="4" max="4" width="5" bestFit="1" customWidth="1"/>
    <col min="5" max="5" width="10.85546875" bestFit="1" customWidth="1"/>
    <col min="6" max="6" width="9.28515625" bestFit="1" customWidth="1"/>
    <col min="7" max="7" width="10.28515625" bestFit="1" customWidth="1"/>
    <col min="8" max="8" width="12.7109375" bestFit="1" customWidth="1"/>
    <col min="9" max="9" width="13.7109375" bestFit="1" customWidth="1"/>
    <col min="10" max="10" width="12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383</v>
      </c>
      <c r="B2">
        <v>3</v>
      </c>
      <c r="C2" t="s">
        <v>62</v>
      </c>
      <c r="D2">
        <v>1000</v>
      </c>
      <c r="E2">
        <v>4</v>
      </c>
      <c r="F2">
        <v>4588</v>
      </c>
      <c r="G2">
        <v>148.0427</v>
      </c>
      <c r="H2">
        <v>4588</v>
      </c>
      <c r="I2">
        <v>3545.2772</v>
      </c>
      <c r="J2" t="b">
        <v>1</v>
      </c>
    </row>
    <row r="3" spans="1:10" x14ac:dyDescent="0.25">
      <c r="A3" t="s">
        <v>472</v>
      </c>
      <c r="B3">
        <v>4</v>
      </c>
      <c r="C3" t="s">
        <v>11</v>
      </c>
      <c r="D3">
        <v>800</v>
      </c>
      <c r="E3">
        <v>1</v>
      </c>
      <c r="F3">
        <v>3520</v>
      </c>
      <c r="G3">
        <v>57.334800000000001</v>
      </c>
      <c r="H3">
        <v>3520</v>
      </c>
      <c r="I3">
        <v>355.30180000000001</v>
      </c>
      <c r="J3" t="b">
        <v>1</v>
      </c>
    </row>
    <row r="4" spans="1:10" x14ac:dyDescent="0.25">
      <c r="A4" t="s">
        <v>501</v>
      </c>
      <c r="B4">
        <v>4</v>
      </c>
      <c r="C4" t="s">
        <v>11</v>
      </c>
      <c r="D4">
        <v>700</v>
      </c>
      <c r="E4">
        <v>7</v>
      </c>
      <c r="F4">
        <v>3265</v>
      </c>
      <c r="G4">
        <v>21.566700000000001</v>
      </c>
      <c r="H4">
        <v>3265</v>
      </c>
      <c r="I4">
        <v>48.119599999999998</v>
      </c>
      <c r="J4" t="b">
        <v>1</v>
      </c>
    </row>
    <row r="5" spans="1:10" x14ac:dyDescent="0.25">
      <c r="A5" t="s">
        <v>318</v>
      </c>
      <c r="B5">
        <v>3</v>
      </c>
      <c r="C5" t="s">
        <v>11</v>
      </c>
      <c r="D5">
        <v>1000</v>
      </c>
      <c r="E5">
        <v>1</v>
      </c>
      <c r="F5">
        <v>4620</v>
      </c>
      <c r="G5">
        <v>164.2619</v>
      </c>
      <c r="H5">
        <v>4620</v>
      </c>
      <c r="I5">
        <v>45.560299999999998</v>
      </c>
      <c r="J5" t="b">
        <v>1</v>
      </c>
    </row>
    <row r="6" spans="1:10" x14ac:dyDescent="0.25">
      <c r="A6" t="s">
        <v>521</v>
      </c>
      <c r="B6">
        <v>4</v>
      </c>
      <c r="C6" t="s">
        <v>62</v>
      </c>
      <c r="D6">
        <v>700</v>
      </c>
      <c r="E6">
        <v>1</v>
      </c>
      <c r="F6">
        <v>3302</v>
      </c>
      <c r="G6">
        <v>24.414300000000001</v>
      </c>
      <c r="H6">
        <v>3302</v>
      </c>
      <c r="I6">
        <v>16.107600000000001</v>
      </c>
      <c r="J6" t="b">
        <v>1</v>
      </c>
    </row>
    <row r="7" spans="1:10" x14ac:dyDescent="0.25">
      <c r="A7" t="s">
        <v>511</v>
      </c>
      <c r="B7">
        <v>4</v>
      </c>
      <c r="C7" t="s">
        <v>11</v>
      </c>
      <c r="D7">
        <v>700</v>
      </c>
      <c r="E7">
        <v>9</v>
      </c>
      <c r="F7">
        <v>3265</v>
      </c>
      <c r="G7">
        <v>22.939</v>
      </c>
      <c r="H7">
        <v>3265</v>
      </c>
      <c r="I7">
        <v>3.2858999999999998</v>
      </c>
      <c r="J7" t="b">
        <v>1</v>
      </c>
    </row>
    <row r="8" spans="1:10" x14ac:dyDescent="0.25">
      <c r="A8" t="s">
        <v>368</v>
      </c>
      <c r="B8">
        <v>3</v>
      </c>
      <c r="C8" t="s">
        <v>62</v>
      </c>
      <c r="D8">
        <v>1000</v>
      </c>
      <c r="E8">
        <v>1</v>
      </c>
      <c r="F8">
        <v>4566</v>
      </c>
      <c r="G8">
        <v>159.16200000000001</v>
      </c>
      <c r="H8">
        <v>4566</v>
      </c>
      <c r="I8">
        <v>1.7575000000000001</v>
      </c>
      <c r="J8" t="b">
        <v>1</v>
      </c>
    </row>
    <row r="9" spans="1:10" x14ac:dyDescent="0.25">
      <c r="A9" t="s">
        <v>488</v>
      </c>
      <c r="B9">
        <v>4</v>
      </c>
      <c r="C9" t="s">
        <v>11</v>
      </c>
      <c r="D9">
        <v>1000</v>
      </c>
      <c r="E9">
        <v>5</v>
      </c>
      <c r="F9">
        <v>4690</v>
      </c>
      <c r="G9">
        <v>126.18600000000001</v>
      </c>
      <c r="H9">
        <v>4690</v>
      </c>
      <c r="I9">
        <v>1.4206000000000001</v>
      </c>
      <c r="J9" t="b">
        <v>1</v>
      </c>
    </row>
    <row r="10" spans="1:10" x14ac:dyDescent="0.25">
      <c r="A10" t="s">
        <v>535</v>
      </c>
      <c r="B10">
        <v>4</v>
      </c>
      <c r="C10" t="s">
        <v>62</v>
      </c>
      <c r="D10">
        <v>500</v>
      </c>
      <c r="E10">
        <v>4</v>
      </c>
      <c r="F10">
        <v>2245</v>
      </c>
      <c r="G10">
        <v>6.9870999999999999</v>
      </c>
      <c r="H10">
        <v>2245</v>
      </c>
      <c r="I10">
        <v>1.1220000000000001</v>
      </c>
      <c r="J10" t="b">
        <v>1</v>
      </c>
    </row>
    <row r="11" spans="1:10" x14ac:dyDescent="0.25">
      <c r="A11" t="s">
        <v>473</v>
      </c>
      <c r="B11">
        <v>4</v>
      </c>
      <c r="C11" t="s">
        <v>11</v>
      </c>
      <c r="D11">
        <v>1000</v>
      </c>
      <c r="E11">
        <v>2</v>
      </c>
      <c r="F11">
        <v>4410</v>
      </c>
      <c r="G11">
        <v>133.32040000000001</v>
      </c>
      <c r="H11">
        <v>4410</v>
      </c>
      <c r="I11">
        <v>0.96719999999999995</v>
      </c>
      <c r="J11" t="b">
        <v>1</v>
      </c>
    </row>
    <row r="12" spans="1:10" x14ac:dyDescent="0.25">
      <c r="A12" t="s">
        <v>533</v>
      </c>
      <c r="B12">
        <v>4</v>
      </c>
      <c r="C12" t="s">
        <v>62</v>
      </c>
      <c r="D12">
        <v>1000</v>
      </c>
      <c r="E12">
        <v>4</v>
      </c>
      <c r="F12">
        <v>4570</v>
      </c>
      <c r="G12">
        <v>141.6293</v>
      </c>
      <c r="H12">
        <v>4570</v>
      </c>
      <c r="I12">
        <v>0.89549999999999996</v>
      </c>
      <c r="J12" t="b">
        <v>1</v>
      </c>
    </row>
    <row r="13" spans="1:10" x14ac:dyDescent="0.25">
      <c r="A13" t="s">
        <v>356</v>
      </c>
      <c r="B13">
        <v>3</v>
      </c>
      <c r="C13" t="s">
        <v>11</v>
      </c>
      <c r="D13">
        <v>700</v>
      </c>
      <c r="E13">
        <v>8</v>
      </c>
      <c r="F13">
        <v>3139</v>
      </c>
      <c r="G13">
        <v>22.4284</v>
      </c>
      <c r="H13">
        <v>3139</v>
      </c>
      <c r="I13">
        <v>0.8357</v>
      </c>
      <c r="J13" t="b">
        <v>1</v>
      </c>
    </row>
    <row r="14" spans="1:10" x14ac:dyDescent="0.25">
      <c r="A14" t="s">
        <v>12</v>
      </c>
      <c r="B14">
        <v>1</v>
      </c>
      <c r="C14" t="s">
        <v>11</v>
      </c>
      <c r="D14">
        <v>300</v>
      </c>
      <c r="E14">
        <v>10</v>
      </c>
      <c r="F14">
        <v>1356</v>
      </c>
      <c r="G14">
        <v>0.40439999999999998</v>
      </c>
      <c r="H14">
        <v>1356</v>
      </c>
      <c r="I14">
        <v>0.5615</v>
      </c>
      <c r="J14" t="b">
        <v>1</v>
      </c>
    </row>
    <row r="15" spans="1:10" x14ac:dyDescent="0.25">
      <c r="A15" t="s">
        <v>482</v>
      </c>
      <c r="B15">
        <v>4</v>
      </c>
      <c r="C15" t="s">
        <v>11</v>
      </c>
      <c r="D15">
        <v>800</v>
      </c>
      <c r="E15">
        <v>3</v>
      </c>
      <c r="F15">
        <v>3660</v>
      </c>
      <c r="G15">
        <v>60.463500000000003</v>
      </c>
      <c r="H15">
        <v>3660</v>
      </c>
      <c r="I15">
        <v>0.49519999999999997</v>
      </c>
      <c r="J15" t="b">
        <v>1</v>
      </c>
    </row>
    <row r="16" spans="1:10" x14ac:dyDescent="0.25">
      <c r="A16" t="s">
        <v>516</v>
      </c>
      <c r="B16">
        <v>4</v>
      </c>
      <c r="C16" t="s">
        <v>62</v>
      </c>
      <c r="D16">
        <v>700</v>
      </c>
      <c r="E16">
        <v>10</v>
      </c>
      <c r="F16">
        <v>3265</v>
      </c>
      <c r="G16">
        <v>19.561399999999999</v>
      </c>
      <c r="H16">
        <v>3265</v>
      </c>
      <c r="I16">
        <v>0.4849</v>
      </c>
      <c r="J16" t="b">
        <v>1</v>
      </c>
    </row>
    <row r="17" spans="1:10" x14ac:dyDescent="0.25">
      <c r="A17" t="s">
        <v>463</v>
      </c>
      <c r="B17">
        <v>4</v>
      </c>
      <c r="C17" t="s">
        <v>11</v>
      </c>
      <c r="D17">
        <v>1000</v>
      </c>
      <c r="E17">
        <v>10</v>
      </c>
      <c r="F17">
        <v>4470</v>
      </c>
      <c r="G17">
        <v>140.31950000000001</v>
      </c>
      <c r="H17">
        <v>4470</v>
      </c>
      <c r="I17">
        <v>0.42330000000000001</v>
      </c>
      <c r="J17" t="b">
        <v>1</v>
      </c>
    </row>
    <row r="18" spans="1:10" x14ac:dyDescent="0.25">
      <c r="A18" t="s">
        <v>548</v>
      </c>
      <c r="B18">
        <v>4</v>
      </c>
      <c r="C18" t="s">
        <v>62</v>
      </c>
      <c r="D18">
        <v>1000</v>
      </c>
      <c r="E18">
        <v>7</v>
      </c>
      <c r="F18">
        <v>4560</v>
      </c>
      <c r="G18">
        <v>155.67259999999999</v>
      </c>
      <c r="H18">
        <v>4560</v>
      </c>
      <c r="I18">
        <v>0.30309999999999998</v>
      </c>
      <c r="J18" t="b">
        <v>1</v>
      </c>
    </row>
    <row r="19" spans="1:10" x14ac:dyDescent="0.25">
      <c r="A19" t="s">
        <v>69</v>
      </c>
      <c r="B19">
        <v>1</v>
      </c>
      <c r="C19" t="s">
        <v>62</v>
      </c>
      <c r="D19">
        <v>500</v>
      </c>
      <c r="E19">
        <v>1</v>
      </c>
      <c r="F19">
        <v>2218</v>
      </c>
      <c r="G19">
        <v>2.6114999999999999</v>
      </c>
      <c r="H19">
        <v>2218</v>
      </c>
      <c r="I19">
        <v>0.2949</v>
      </c>
      <c r="J19" t="b">
        <v>1</v>
      </c>
    </row>
    <row r="20" spans="1:10" x14ac:dyDescent="0.25">
      <c r="A20" t="s">
        <v>558</v>
      </c>
      <c r="B20">
        <v>4</v>
      </c>
      <c r="C20" t="s">
        <v>62</v>
      </c>
      <c r="D20">
        <v>1000</v>
      </c>
      <c r="E20">
        <v>9</v>
      </c>
      <c r="F20">
        <v>4710</v>
      </c>
      <c r="G20">
        <v>152.11680000000001</v>
      </c>
      <c r="H20">
        <v>4710</v>
      </c>
      <c r="I20">
        <v>0.2742</v>
      </c>
      <c r="J20" t="b">
        <v>1</v>
      </c>
    </row>
    <row r="21" spans="1:10" x14ac:dyDescent="0.25">
      <c r="A21" t="s">
        <v>407</v>
      </c>
      <c r="B21">
        <v>3</v>
      </c>
      <c r="C21" t="s">
        <v>62</v>
      </c>
      <c r="D21">
        <v>800</v>
      </c>
      <c r="E21">
        <v>8</v>
      </c>
      <c r="F21">
        <v>3830</v>
      </c>
      <c r="G21">
        <v>63.4315</v>
      </c>
      <c r="H21">
        <v>3830</v>
      </c>
      <c r="I21">
        <v>0.25700000000000001</v>
      </c>
      <c r="J21" t="b">
        <v>1</v>
      </c>
    </row>
    <row r="22" spans="1:10" x14ac:dyDescent="0.25">
      <c r="A22" t="s">
        <v>317</v>
      </c>
      <c r="B22">
        <v>3</v>
      </c>
      <c r="C22" t="s">
        <v>11</v>
      </c>
      <c r="D22">
        <v>800</v>
      </c>
      <c r="E22">
        <v>10</v>
      </c>
      <c r="F22">
        <v>3640</v>
      </c>
      <c r="G22">
        <v>76.210499999999996</v>
      </c>
      <c r="H22">
        <v>3640</v>
      </c>
      <c r="I22">
        <v>0.22589999999999999</v>
      </c>
      <c r="J22" t="b">
        <v>1</v>
      </c>
    </row>
    <row r="23" spans="1:10" x14ac:dyDescent="0.25">
      <c r="A23" t="s">
        <v>63</v>
      </c>
      <c r="B23">
        <v>1</v>
      </c>
      <c r="C23" t="s">
        <v>62</v>
      </c>
      <c r="D23">
        <v>300</v>
      </c>
      <c r="E23">
        <v>10</v>
      </c>
      <c r="F23">
        <v>1291</v>
      </c>
      <c r="G23">
        <v>0.44869999999999999</v>
      </c>
      <c r="H23">
        <v>1291</v>
      </c>
      <c r="I23">
        <v>0.218</v>
      </c>
      <c r="J23" t="b">
        <v>1</v>
      </c>
    </row>
    <row r="24" spans="1:10" x14ac:dyDescent="0.25">
      <c r="A24" t="s">
        <v>546</v>
      </c>
      <c r="B24">
        <v>4</v>
      </c>
      <c r="C24" t="s">
        <v>62</v>
      </c>
      <c r="D24">
        <v>700</v>
      </c>
      <c r="E24">
        <v>6</v>
      </c>
      <c r="F24">
        <v>3159</v>
      </c>
      <c r="G24">
        <v>19.920100000000001</v>
      </c>
      <c r="H24">
        <v>3159</v>
      </c>
      <c r="I24">
        <v>0.19620000000000001</v>
      </c>
      <c r="J24" t="b">
        <v>1</v>
      </c>
    </row>
    <row r="25" spans="1:10" x14ac:dyDescent="0.25">
      <c r="A25" t="s">
        <v>470</v>
      </c>
      <c r="B25">
        <v>4</v>
      </c>
      <c r="C25" t="s">
        <v>11</v>
      </c>
      <c r="D25">
        <v>500</v>
      </c>
      <c r="E25">
        <v>1</v>
      </c>
      <c r="F25">
        <v>2226</v>
      </c>
      <c r="G25">
        <v>5.9743000000000004</v>
      </c>
      <c r="H25">
        <v>2226</v>
      </c>
      <c r="I25">
        <v>0.18260000000000001</v>
      </c>
      <c r="J25" t="b">
        <v>1</v>
      </c>
    </row>
    <row r="26" spans="1:10" x14ac:dyDescent="0.25">
      <c r="A26" t="s">
        <v>519</v>
      </c>
      <c r="B26">
        <v>4</v>
      </c>
      <c r="C26" t="s">
        <v>62</v>
      </c>
      <c r="D26">
        <v>300</v>
      </c>
      <c r="E26">
        <v>1</v>
      </c>
      <c r="F26">
        <v>1295</v>
      </c>
      <c r="G26">
        <v>0.69340000000000002</v>
      </c>
      <c r="H26">
        <v>1295</v>
      </c>
      <c r="I26">
        <v>0.17860000000000001</v>
      </c>
      <c r="J26" t="b">
        <v>1</v>
      </c>
    </row>
    <row r="27" spans="1:10" x14ac:dyDescent="0.25">
      <c r="A27" t="s">
        <v>560</v>
      </c>
      <c r="B27">
        <v>4</v>
      </c>
      <c r="C27" t="s">
        <v>62</v>
      </c>
      <c r="D27">
        <v>500</v>
      </c>
      <c r="E27">
        <v>9</v>
      </c>
      <c r="F27">
        <v>2115</v>
      </c>
      <c r="G27">
        <v>4.2721999999999998</v>
      </c>
      <c r="H27">
        <v>2115</v>
      </c>
      <c r="I27">
        <v>0.17499999999999999</v>
      </c>
      <c r="J27" t="b">
        <v>1</v>
      </c>
    </row>
    <row r="28" spans="1:10" x14ac:dyDescent="0.25">
      <c r="A28" t="s">
        <v>363</v>
      </c>
      <c r="B28">
        <v>3</v>
      </c>
      <c r="C28" t="s">
        <v>62</v>
      </c>
      <c r="D28">
        <v>1000</v>
      </c>
      <c r="E28">
        <v>10</v>
      </c>
      <c r="F28">
        <v>4540</v>
      </c>
      <c r="G28">
        <v>163.57339999999999</v>
      </c>
      <c r="H28">
        <v>4540</v>
      </c>
      <c r="I28">
        <v>0.17380000000000001</v>
      </c>
      <c r="J28" t="b">
        <v>1</v>
      </c>
    </row>
    <row r="29" spans="1:10" x14ac:dyDescent="0.25">
      <c r="A29" t="s">
        <v>21</v>
      </c>
      <c r="B29">
        <v>1</v>
      </c>
      <c r="C29" t="s">
        <v>11</v>
      </c>
      <c r="D29">
        <v>1000</v>
      </c>
      <c r="E29">
        <v>2</v>
      </c>
      <c r="F29">
        <v>3559</v>
      </c>
      <c r="G29">
        <v>18.0837</v>
      </c>
      <c r="H29">
        <v>3559</v>
      </c>
      <c r="I29">
        <v>0.16139999999999999</v>
      </c>
      <c r="J29" t="b">
        <v>1</v>
      </c>
    </row>
    <row r="30" spans="1:10" x14ac:dyDescent="0.25">
      <c r="A30" t="s">
        <v>330</v>
      </c>
      <c r="B30">
        <v>3</v>
      </c>
      <c r="C30" t="s">
        <v>11</v>
      </c>
      <c r="D30">
        <v>500</v>
      </c>
      <c r="E30">
        <v>3</v>
      </c>
      <c r="F30">
        <v>2225</v>
      </c>
      <c r="G30">
        <v>8.0907</v>
      </c>
      <c r="H30">
        <v>2225</v>
      </c>
      <c r="I30">
        <v>0.15759999999999999</v>
      </c>
      <c r="J30" t="b">
        <v>1</v>
      </c>
    </row>
    <row r="31" spans="1:10" x14ac:dyDescent="0.25">
      <c r="A31" t="s">
        <v>504</v>
      </c>
      <c r="B31">
        <v>4</v>
      </c>
      <c r="C31" t="s">
        <v>11</v>
      </c>
      <c r="D31">
        <v>300</v>
      </c>
      <c r="E31">
        <v>8</v>
      </c>
      <c r="F31">
        <v>1405</v>
      </c>
      <c r="G31">
        <v>0.754</v>
      </c>
      <c r="H31">
        <v>1405</v>
      </c>
      <c r="I31">
        <v>0.1525</v>
      </c>
      <c r="J31" t="b">
        <v>1</v>
      </c>
    </row>
    <row r="32" spans="1:10" x14ac:dyDescent="0.25">
      <c r="A32" t="s">
        <v>510</v>
      </c>
      <c r="B32">
        <v>4</v>
      </c>
      <c r="C32" t="s">
        <v>11</v>
      </c>
      <c r="D32">
        <v>500</v>
      </c>
      <c r="E32">
        <v>9</v>
      </c>
      <c r="F32">
        <v>2185</v>
      </c>
      <c r="G32">
        <v>5.2614999999999998</v>
      </c>
      <c r="H32">
        <v>2185</v>
      </c>
      <c r="I32">
        <v>0.1507</v>
      </c>
      <c r="J32" t="b">
        <v>1</v>
      </c>
    </row>
    <row r="33" spans="1:10" x14ac:dyDescent="0.25">
      <c r="A33" t="s">
        <v>313</v>
      </c>
      <c r="B33">
        <v>3</v>
      </c>
      <c r="C33" t="s">
        <v>11</v>
      </c>
      <c r="D33">
        <v>1000</v>
      </c>
      <c r="E33">
        <v>10</v>
      </c>
      <c r="F33">
        <v>4441</v>
      </c>
      <c r="G33">
        <v>160.19929999999999</v>
      </c>
      <c r="H33">
        <v>4441</v>
      </c>
      <c r="I33">
        <v>0.1477</v>
      </c>
      <c r="J33" t="b">
        <v>1</v>
      </c>
    </row>
    <row r="34" spans="1:10" x14ac:dyDescent="0.25">
      <c r="A34" t="s">
        <v>381</v>
      </c>
      <c r="B34">
        <v>3</v>
      </c>
      <c r="C34" t="s">
        <v>62</v>
      </c>
      <c r="D34">
        <v>700</v>
      </c>
      <c r="E34">
        <v>3</v>
      </c>
      <c r="F34">
        <v>3167</v>
      </c>
      <c r="G34">
        <v>22.377700000000001</v>
      </c>
      <c r="H34">
        <v>3167</v>
      </c>
      <c r="I34">
        <v>0.14530000000000001</v>
      </c>
      <c r="J34" t="b">
        <v>1</v>
      </c>
    </row>
    <row r="35" spans="1:10" x14ac:dyDescent="0.25">
      <c r="A35" t="s">
        <v>20</v>
      </c>
      <c r="B35">
        <v>1</v>
      </c>
      <c r="C35" t="s">
        <v>11</v>
      </c>
      <c r="D35">
        <v>800</v>
      </c>
      <c r="E35">
        <v>1</v>
      </c>
      <c r="F35">
        <v>3221</v>
      </c>
      <c r="G35">
        <v>6.7262000000000004</v>
      </c>
      <c r="H35">
        <v>3221</v>
      </c>
      <c r="I35">
        <v>0.13900000000000001</v>
      </c>
      <c r="J35" t="b">
        <v>1</v>
      </c>
    </row>
    <row r="36" spans="1:10" x14ac:dyDescent="0.25">
      <c r="A36" t="s">
        <v>490</v>
      </c>
      <c r="B36">
        <v>4</v>
      </c>
      <c r="C36" t="s">
        <v>11</v>
      </c>
      <c r="D36">
        <v>500</v>
      </c>
      <c r="E36">
        <v>5</v>
      </c>
      <c r="F36">
        <v>2415</v>
      </c>
      <c r="G36">
        <v>3.8733</v>
      </c>
      <c r="H36">
        <v>2415</v>
      </c>
      <c r="I36">
        <v>0.13689999999999999</v>
      </c>
      <c r="J36" t="b">
        <v>1</v>
      </c>
    </row>
    <row r="37" spans="1:10" x14ac:dyDescent="0.25">
      <c r="A37" t="s">
        <v>16</v>
      </c>
      <c r="B37">
        <v>1</v>
      </c>
      <c r="C37" t="s">
        <v>11</v>
      </c>
      <c r="D37">
        <v>1000</v>
      </c>
      <c r="E37">
        <v>1</v>
      </c>
      <c r="F37">
        <v>3736</v>
      </c>
      <c r="G37">
        <v>18.0093</v>
      </c>
      <c r="H37">
        <v>3736</v>
      </c>
      <c r="I37">
        <v>0.1366</v>
      </c>
      <c r="J37" t="b">
        <v>1</v>
      </c>
    </row>
    <row r="38" spans="1:10" x14ac:dyDescent="0.25">
      <c r="A38" t="s">
        <v>162</v>
      </c>
      <c r="B38">
        <v>1</v>
      </c>
      <c r="C38" t="s">
        <v>113</v>
      </c>
      <c r="D38">
        <v>800</v>
      </c>
      <c r="E38">
        <v>9</v>
      </c>
      <c r="F38">
        <v>3527</v>
      </c>
      <c r="G38">
        <v>5.7138999999999998</v>
      </c>
      <c r="H38">
        <v>3527</v>
      </c>
      <c r="I38">
        <v>0.1353</v>
      </c>
      <c r="J38" t="b">
        <v>1</v>
      </c>
    </row>
    <row r="39" spans="1:10" x14ac:dyDescent="0.25">
      <c r="A39" t="s">
        <v>366</v>
      </c>
      <c r="B39">
        <v>3</v>
      </c>
      <c r="C39" t="s">
        <v>62</v>
      </c>
      <c r="D39">
        <v>700</v>
      </c>
      <c r="E39">
        <v>10</v>
      </c>
      <c r="F39">
        <v>3247</v>
      </c>
      <c r="G39">
        <v>23.591799999999999</v>
      </c>
      <c r="H39">
        <v>3247</v>
      </c>
      <c r="I39">
        <v>0.13420000000000001</v>
      </c>
      <c r="J39" t="b">
        <v>1</v>
      </c>
    </row>
    <row r="40" spans="1:10" x14ac:dyDescent="0.25">
      <c r="A40" t="s">
        <v>477</v>
      </c>
      <c r="B40">
        <v>4</v>
      </c>
      <c r="C40" t="s">
        <v>11</v>
      </c>
      <c r="D40">
        <v>800</v>
      </c>
      <c r="E40">
        <v>2</v>
      </c>
      <c r="F40">
        <v>3641</v>
      </c>
      <c r="G40">
        <v>62.257800000000003</v>
      </c>
      <c r="H40">
        <v>3641</v>
      </c>
      <c r="I40">
        <v>0.1313</v>
      </c>
      <c r="J40" t="b">
        <v>1</v>
      </c>
    </row>
    <row r="41" spans="1:10" x14ac:dyDescent="0.25">
      <c r="A41" t="s">
        <v>56</v>
      </c>
      <c r="B41">
        <v>1</v>
      </c>
      <c r="C41" t="s">
        <v>11</v>
      </c>
      <c r="D41">
        <v>1000</v>
      </c>
      <c r="E41">
        <v>9</v>
      </c>
      <c r="F41">
        <v>3598</v>
      </c>
      <c r="G41">
        <v>13.520200000000001</v>
      </c>
      <c r="H41">
        <v>3598</v>
      </c>
      <c r="I41">
        <v>0.129</v>
      </c>
      <c r="J41" t="b">
        <v>1</v>
      </c>
    </row>
    <row r="42" spans="1:10" x14ac:dyDescent="0.25">
      <c r="A42" t="s">
        <v>178</v>
      </c>
      <c r="B42">
        <v>2</v>
      </c>
      <c r="C42" t="s">
        <v>11</v>
      </c>
      <c r="D42">
        <v>1000</v>
      </c>
      <c r="E42">
        <v>3</v>
      </c>
      <c r="F42">
        <v>2424</v>
      </c>
      <c r="G42">
        <v>6.5278999999999998</v>
      </c>
      <c r="H42">
        <v>2424</v>
      </c>
      <c r="I42">
        <v>0.129</v>
      </c>
      <c r="J42" t="b">
        <v>1</v>
      </c>
    </row>
    <row r="43" spans="1:10" x14ac:dyDescent="0.25">
      <c r="A43" t="s">
        <v>82</v>
      </c>
      <c r="B43">
        <v>1</v>
      </c>
      <c r="C43" t="s">
        <v>62</v>
      </c>
      <c r="D43">
        <v>1000</v>
      </c>
      <c r="E43">
        <v>4</v>
      </c>
      <c r="F43">
        <v>4071</v>
      </c>
      <c r="G43">
        <v>19.9605</v>
      </c>
      <c r="H43">
        <v>4071</v>
      </c>
      <c r="I43">
        <v>0.1268</v>
      </c>
      <c r="J43" t="b">
        <v>1</v>
      </c>
    </row>
    <row r="44" spans="1:10" x14ac:dyDescent="0.25">
      <c r="A44" t="s">
        <v>45</v>
      </c>
      <c r="B44">
        <v>1</v>
      </c>
      <c r="C44" t="s">
        <v>11</v>
      </c>
      <c r="D44">
        <v>800</v>
      </c>
      <c r="E44">
        <v>6</v>
      </c>
      <c r="F44">
        <v>3132</v>
      </c>
      <c r="G44">
        <v>6.0255000000000001</v>
      </c>
      <c r="H44">
        <v>3132</v>
      </c>
      <c r="I44">
        <v>0.12470000000000001</v>
      </c>
      <c r="J44" t="b">
        <v>1</v>
      </c>
    </row>
    <row r="45" spans="1:10" x14ac:dyDescent="0.25">
      <c r="A45" t="s">
        <v>26</v>
      </c>
      <c r="B45">
        <v>1</v>
      </c>
      <c r="C45" t="s">
        <v>11</v>
      </c>
      <c r="D45">
        <v>1000</v>
      </c>
      <c r="E45">
        <v>3</v>
      </c>
      <c r="F45">
        <v>3731</v>
      </c>
      <c r="G45">
        <v>14.363</v>
      </c>
      <c r="H45">
        <v>3731</v>
      </c>
      <c r="I45">
        <v>0.123</v>
      </c>
      <c r="J45" t="b">
        <v>1</v>
      </c>
    </row>
    <row r="46" spans="1:10" x14ac:dyDescent="0.25">
      <c r="A46" t="s">
        <v>395</v>
      </c>
      <c r="B46">
        <v>3</v>
      </c>
      <c r="C46" t="s">
        <v>62</v>
      </c>
      <c r="D46">
        <v>500</v>
      </c>
      <c r="E46">
        <v>6</v>
      </c>
      <c r="F46">
        <v>2335</v>
      </c>
      <c r="G46">
        <v>7.9154999999999998</v>
      </c>
      <c r="H46">
        <v>2335</v>
      </c>
      <c r="I46">
        <v>0.123</v>
      </c>
      <c r="J46" t="b">
        <v>1</v>
      </c>
    </row>
    <row r="47" spans="1:10" x14ac:dyDescent="0.25">
      <c r="A47" t="s">
        <v>51</v>
      </c>
      <c r="B47">
        <v>1</v>
      </c>
      <c r="C47" t="s">
        <v>11</v>
      </c>
      <c r="D47">
        <v>1000</v>
      </c>
      <c r="E47">
        <v>8</v>
      </c>
      <c r="F47">
        <v>3634</v>
      </c>
      <c r="G47">
        <v>15.781599999999999</v>
      </c>
      <c r="H47">
        <v>3634</v>
      </c>
      <c r="I47">
        <v>0.1212</v>
      </c>
      <c r="J47" t="b">
        <v>1</v>
      </c>
    </row>
    <row r="48" spans="1:10" x14ac:dyDescent="0.25">
      <c r="A48" t="s">
        <v>158</v>
      </c>
      <c r="B48">
        <v>1</v>
      </c>
      <c r="C48" t="s">
        <v>113</v>
      </c>
      <c r="D48">
        <v>1000</v>
      </c>
      <c r="E48">
        <v>9</v>
      </c>
      <c r="F48">
        <v>4112</v>
      </c>
      <c r="G48">
        <v>17.925799999999999</v>
      </c>
      <c r="H48">
        <v>4112</v>
      </c>
      <c r="I48">
        <v>0.1188</v>
      </c>
      <c r="J48" t="b">
        <v>1</v>
      </c>
    </row>
    <row r="49" spans="1:10" x14ac:dyDescent="0.25">
      <c r="A49" t="s">
        <v>30</v>
      </c>
      <c r="B49">
        <v>1</v>
      </c>
      <c r="C49" t="s">
        <v>11</v>
      </c>
      <c r="D49">
        <v>800</v>
      </c>
      <c r="E49">
        <v>3</v>
      </c>
      <c r="F49">
        <v>3204</v>
      </c>
      <c r="G49">
        <v>5.944</v>
      </c>
      <c r="H49">
        <v>3204</v>
      </c>
      <c r="I49">
        <v>0.1132</v>
      </c>
      <c r="J49" t="b">
        <v>1</v>
      </c>
    </row>
    <row r="50" spans="1:10" x14ac:dyDescent="0.25">
      <c r="A50" t="s">
        <v>44</v>
      </c>
      <c r="B50">
        <v>1</v>
      </c>
      <c r="C50" t="s">
        <v>11</v>
      </c>
      <c r="D50">
        <v>700</v>
      </c>
      <c r="E50">
        <v>6</v>
      </c>
      <c r="F50">
        <v>2776</v>
      </c>
      <c r="G50">
        <v>4.7796000000000003</v>
      </c>
      <c r="H50">
        <v>2776</v>
      </c>
      <c r="I50">
        <v>0.1129</v>
      </c>
      <c r="J50" t="b">
        <v>1</v>
      </c>
    </row>
    <row r="51" spans="1:10" x14ac:dyDescent="0.25">
      <c r="A51" t="s">
        <v>153</v>
      </c>
      <c r="B51">
        <v>1</v>
      </c>
      <c r="C51" t="s">
        <v>113</v>
      </c>
      <c r="D51">
        <v>1000</v>
      </c>
      <c r="E51">
        <v>8</v>
      </c>
      <c r="F51">
        <v>4141</v>
      </c>
      <c r="G51">
        <v>16.2029</v>
      </c>
      <c r="H51">
        <v>4141</v>
      </c>
      <c r="I51">
        <v>0.1129</v>
      </c>
      <c r="J51" t="b">
        <v>1</v>
      </c>
    </row>
    <row r="52" spans="1:10" x14ac:dyDescent="0.25">
      <c r="A52" t="s">
        <v>180</v>
      </c>
      <c r="B52">
        <v>2</v>
      </c>
      <c r="C52" t="s">
        <v>11</v>
      </c>
      <c r="D52">
        <v>500</v>
      </c>
      <c r="E52">
        <v>3</v>
      </c>
      <c r="F52">
        <v>1507</v>
      </c>
      <c r="G52">
        <v>2.4573999999999998</v>
      </c>
      <c r="H52">
        <v>1507</v>
      </c>
      <c r="I52">
        <v>0.11119999999999999</v>
      </c>
      <c r="J52" t="b">
        <v>1</v>
      </c>
    </row>
    <row r="53" spans="1:10" x14ac:dyDescent="0.25">
      <c r="A53" t="s">
        <v>133</v>
      </c>
      <c r="B53">
        <v>1</v>
      </c>
      <c r="C53" t="s">
        <v>113</v>
      </c>
      <c r="D53">
        <v>1000</v>
      </c>
      <c r="E53">
        <v>4</v>
      </c>
      <c r="F53">
        <v>4226</v>
      </c>
      <c r="G53">
        <v>16.332100000000001</v>
      </c>
      <c r="H53">
        <v>4226</v>
      </c>
      <c r="I53">
        <v>0.11070000000000001</v>
      </c>
      <c r="J53" t="b">
        <v>1</v>
      </c>
    </row>
    <row r="54" spans="1:10" x14ac:dyDescent="0.25">
      <c r="A54" t="s">
        <v>71</v>
      </c>
      <c r="B54">
        <v>1</v>
      </c>
      <c r="C54" t="s">
        <v>62</v>
      </c>
      <c r="D54">
        <v>800</v>
      </c>
      <c r="E54">
        <v>1</v>
      </c>
      <c r="F54">
        <v>3237</v>
      </c>
      <c r="G54">
        <v>6.0366</v>
      </c>
      <c r="H54">
        <v>3237</v>
      </c>
      <c r="I54">
        <v>0.10920000000000001</v>
      </c>
      <c r="J54" t="b">
        <v>1</v>
      </c>
    </row>
    <row r="55" spans="1:10" x14ac:dyDescent="0.25">
      <c r="A55" t="s">
        <v>177</v>
      </c>
      <c r="B55">
        <v>2</v>
      </c>
      <c r="C55" t="s">
        <v>11</v>
      </c>
      <c r="D55">
        <v>800</v>
      </c>
      <c r="E55">
        <v>2</v>
      </c>
      <c r="F55">
        <v>2353</v>
      </c>
      <c r="G55">
        <v>4.0349000000000004</v>
      </c>
      <c r="H55">
        <v>2353</v>
      </c>
      <c r="I55">
        <v>0.108</v>
      </c>
      <c r="J55" t="b">
        <v>1</v>
      </c>
    </row>
    <row r="56" spans="1:10" x14ac:dyDescent="0.25">
      <c r="A56" t="s">
        <v>91</v>
      </c>
      <c r="B56">
        <v>1</v>
      </c>
      <c r="C56" t="s">
        <v>62</v>
      </c>
      <c r="D56">
        <v>800</v>
      </c>
      <c r="E56">
        <v>5</v>
      </c>
      <c r="F56">
        <v>3116</v>
      </c>
      <c r="G56">
        <v>6.8223000000000003</v>
      </c>
      <c r="H56">
        <v>3116</v>
      </c>
      <c r="I56">
        <v>0.107</v>
      </c>
      <c r="J56" t="b">
        <v>1</v>
      </c>
    </row>
    <row r="57" spans="1:10" x14ac:dyDescent="0.25">
      <c r="A57" t="s">
        <v>80</v>
      </c>
      <c r="B57">
        <v>1</v>
      </c>
      <c r="C57" t="s">
        <v>62</v>
      </c>
      <c r="D57">
        <v>700</v>
      </c>
      <c r="E57">
        <v>3</v>
      </c>
      <c r="F57">
        <v>2857</v>
      </c>
      <c r="G57">
        <v>6.0719000000000003</v>
      </c>
      <c r="H57">
        <v>2857</v>
      </c>
      <c r="I57">
        <v>0.1069</v>
      </c>
      <c r="J57" t="b">
        <v>1</v>
      </c>
    </row>
    <row r="58" spans="1:10" x14ac:dyDescent="0.25">
      <c r="A58" t="s">
        <v>10</v>
      </c>
      <c r="B58">
        <v>1</v>
      </c>
      <c r="C58" t="s">
        <v>11</v>
      </c>
      <c r="D58">
        <v>1000</v>
      </c>
      <c r="E58">
        <v>10</v>
      </c>
      <c r="F58">
        <v>3621</v>
      </c>
      <c r="G58">
        <v>14.1309</v>
      </c>
      <c r="H58">
        <v>3621</v>
      </c>
      <c r="I58">
        <v>0.1057</v>
      </c>
      <c r="J58" t="b">
        <v>1</v>
      </c>
    </row>
    <row r="59" spans="1:10" x14ac:dyDescent="0.25">
      <c r="A59" t="s">
        <v>360</v>
      </c>
      <c r="B59">
        <v>3</v>
      </c>
      <c r="C59" t="s">
        <v>11</v>
      </c>
      <c r="D59">
        <v>500</v>
      </c>
      <c r="E59">
        <v>9</v>
      </c>
      <c r="F59">
        <v>2175</v>
      </c>
      <c r="G59">
        <v>7.7247000000000003</v>
      </c>
      <c r="H59">
        <v>2175</v>
      </c>
      <c r="I59">
        <v>0.1057</v>
      </c>
      <c r="J59" t="b">
        <v>1</v>
      </c>
    </row>
    <row r="60" spans="1:10" x14ac:dyDescent="0.25">
      <c r="A60" t="s">
        <v>31</v>
      </c>
      <c r="B60">
        <v>1</v>
      </c>
      <c r="C60" t="s">
        <v>11</v>
      </c>
      <c r="D60">
        <v>1000</v>
      </c>
      <c r="E60">
        <v>4</v>
      </c>
      <c r="F60">
        <v>3735</v>
      </c>
      <c r="G60">
        <v>16.346299999999999</v>
      </c>
      <c r="H60">
        <v>3735</v>
      </c>
      <c r="I60">
        <v>0.105</v>
      </c>
      <c r="J60" t="b">
        <v>1</v>
      </c>
    </row>
    <row r="61" spans="1:10" x14ac:dyDescent="0.25">
      <c r="A61" t="s">
        <v>148</v>
      </c>
      <c r="B61">
        <v>1</v>
      </c>
      <c r="C61" t="s">
        <v>113</v>
      </c>
      <c r="D61">
        <v>1000</v>
      </c>
      <c r="E61">
        <v>7</v>
      </c>
      <c r="F61">
        <v>3974</v>
      </c>
      <c r="G61">
        <v>18.566400000000002</v>
      </c>
      <c r="H61">
        <v>3974</v>
      </c>
      <c r="I61">
        <v>0.10349999999999999</v>
      </c>
      <c r="J61" t="b">
        <v>1</v>
      </c>
    </row>
    <row r="62" spans="1:10" x14ac:dyDescent="0.25">
      <c r="A62" t="s">
        <v>94</v>
      </c>
      <c r="B62">
        <v>1</v>
      </c>
      <c r="C62" t="s">
        <v>62</v>
      </c>
      <c r="D62">
        <v>500</v>
      </c>
      <c r="E62">
        <v>6</v>
      </c>
      <c r="F62">
        <v>2218</v>
      </c>
      <c r="G62">
        <v>2.1806000000000001</v>
      </c>
      <c r="H62">
        <v>2218</v>
      </c>
      <c r="I62">
        <v>0.1027</v>
      </c>
      <c r="J62" t="b">
        <v>1</v>
      </c>
    </row>
    <row r="63" spans="1:10" x14ac:dyDescent="0.25">
      <c r="A63" t="s">
        <v>39</v>
      </c>
      <c r="B63">
        <v>1</v>
      </c>
      <c r="C63" t="s">
        <v>11</v>
      </c>
      <c r="D63">
        <v>700</v>
      </c>
      <c r="E63">
        <v>5</v>
      </c>
      <c r="F63">
        <v>2821</v>
      </c>
      <c r="G63">
        <v>5.4625000000000004</v>
      </c>
      <c r="H63">
        <v>2821</v>
      </c>
      <c r="I63">
        <v>0.10249999999999999</v>
      </c>
      <c r="J63" t="b">
        <v>1</v>
      </c>
    </row>
    <row r="64" spans="1:10" x14ac:dyDescent="0.25">
      <c r="A64" t="s">
        <v>86</v>
      </c>
      <c r="B64">
        <v>1</v>
      </c>
      <c r="C64" t="s">
        <v>62</v>
      </c>
      <c r="D64">
        <v>800</v>
      </c>
      <c r="E64">
        <v>4</v>
      </c>
      <c r="F64">
        <v>3149</v>
      </c>
      <c r="G64">
        <v>5.9999000000000002</v>
      </c>
      <c r="H64">
        <v>3149</v>
      </c>
      <c r="I64">
        <v>0.1017</v>
      </c>
      <c r="J64" t="b">
        <v>1</v>
      </c>
    </row>
    <row r="65" spans="1:10" x14ac:dyDescent="0.25">
      <c r="A65" t="s">
        <v>123</v>
      </c>
      <c r="B65">
        <v>1</v>
      </c>
      <c r="C65" t="s">
        <v>113</v>
      </c>
      <c r="D65">
        <v>1000</v>
      </c>
      <c r="E65">
        <v>2</v>
      </c>
      <c r="F65">
        <v>3980</v>
      </c>
      <c r="G65">
        <v>16.2775</v>
      </c>
      <c r="H65">
        <v>3980</v>
      </c>
      <c r="I65">
        <v>0.1016</v>
      </c>
      <c r="J65" t="b">
        <v>1</v>
      </c>
    </row>
    <row r="66" spans="1:10" x14ac:dyDescent="0.25">
      <c r="A66" t="s">
        <v>118</v>
      </c>
      <c r="B66">
        <v>1</v>
      </c>
      <c r="C66" t="s">
        <v>113</v>
      </c>
      <c r="D66">
        <v>1000</v>
      </c>
      <c r="E66">
        <v>1</v>
      </c>
      <c r="F66">
        <v>4121</v>
      </c>
      <c r="G66">
        <v>14.9176</v>
      </c>
      <c r="H66">
        <v>4121</v>
      </c>
      <c r="I66">
        <v>0.10100000000000001</v>
      </c>
      <c r="J66" t="b">
        <v>1</v>
      </c>
    </row>
    <row r="67" spans="1:10" x14ac:dyDescent="0.25">
      <c r="A67" t="s">
        <v>412</v>
      </c>
      <c r="B67">
        <v>3</v>
      </c>
      <c r="C67" t="s">
        <v>62</v>
      </c>
      <c r="D67">
        <v>800</v>
      </c>
      <c r="E67">
        <v>9</v>
      </c>
      <c r="F67">
        <v>3570</v>
      </c>
      <c r="G67">
        <v>65.967799999999997</v>
      </c>
      <c r="H67">
        <v>3570</v>
      </c>
      <c r="I67">
        <v>0.1008</v>
      </c>
      <c r="J67" t="b">
        <v>1</v>
      </c>
    </row>
    <row r="68" spans="1:10" x14ac:dyDescent="0.25">
      <c r="A68" t="s">
        <v>49</v>
      </c>
      <c r="B68">
        <v>1</v>
      </c>
      <c r="C68" t="s">
        <v>11</v>
      </c>
      <c r="D68">
        <v>700</v>
      </c>
      <c r="E68">
        <v>7</v>
      </c>
      <c r="F68">
        <v>2977</v>
      </c>
      <c r="G68">
        <v>4.5235000000000003</v>
      </c>
      <c r="H68">
        <v>2977</v>
      </c>
      <c r="I68">
        <v>0.1007</v>
      </c>
      <c r="J68" t="b">
        <v>1</v>
      </c>
    </row>
    <row r="69" spans="1:10" x14ac:dyDescent="0.25">
      <c r="A69" t="s">
        <v>547</v>
      </c>
      <c r="B69">
        <v>4</v>
      </c>
      <c r="C69" t="s">
        <v>62</v>
      </c>
      <c r="D69">
        <v>800</v>
      </c>
      <c r="E69">
        <v>6</v>
      </c>
      <c r="F69">
        <v>3580</v>
      </c>
      <c r="G69">
        <v>74.937700000000007</v>
      </c>
      <c r="H69">
        <v>3580</v>
      </c>
      <c r="I69">
        <v>0.10059999999999999</v>
      </c>
      <c r="J69" t="b">
        <v>1</v>
      </c>
    </row>
    <row r="70" spans="1:10" x14ac:dyDescent="0.25">
      <c r="A70" t="s">
        <v>90</v>
      </c>
      <c r="B70">
        <v>1</v>
      </c>
      <c r="C70" t="s">
        <v>62</v>
      </c>
      <c r="D70">
        <v>700</v>
      </c>
      <c r="E70">
        <v>5</v>
      </c>
      <c r="F70">
        <v>3000</v>
      </c>
      <c r="G70">
        <v>5.4604999999999997</v>
      </c>
      <c r="H70">
        <v>3000</v>
      </c>
      <c r="I70">
        <v>0.1004</v>
      </c>
      <c r="J70" t="b">
        <v>1</v>
      </c>
    </row>
    <row r="71" spans="1:10" x14ac:dyDescent="0.25">
      <c r="A71" t="s">
        <v>24</v>
      </c>
      <c r="B71">
        <v>1</v>
      </c>
      <c r="C71" t="s">
        <v>11</v>
      </c>
      <c r="D71">
        <v>700</v>
      </c>
      <c r="E71">
        <v>2</v>
      </c>
      <c r="F71">
        <v>2863</v>
      </c>
      <c r="G71">
        <v>5.0491000000000001</v>
      </c>
      <c r="H71">
        <v>2863</v>
      </c>
      <c r="I71">
        <v>9.7199999999999995E-2</v>
      </c>
      <c r="J71" t="b">
        <v>1</v>
      </c>
    </row>
    <row r="72" spans="1:10" x14ac:dyDescent="0.25">
      <c r="A72" t="s">
        <v>525</v>
      </c>
      <c r="B72">
        <v>4</v>
      </c>
      <c r="C72" t="s">
        <v>62</v>
      </c>
      <c r="D72">
        <v>500</v>
      </c>
      <c r="E72">
        <v>2</v>
      </c>
      <c r="F72">
        <v>2370</v>
      </c>
      <c r="G72">
        <v>5.0811999999999999</v>
      </c>
      <c r="H72">
        <v>2370</v>
      </c>
      <c r="I72">
        <v>9.6799999999999997E-2</v>
      </c>
      <c r="J72" t="b">
        <v>1</v>
      </c>
    </row>
    <row r="73" spans="1:10" x14ac:dyDescent="0.25">
      <c r="A73" t="s">
        <v>36</v>
      </c>
      <c r="B73">
        <v>1</v>
      </c>
      <c r="C73" t="s">
        <v>11</v>
      </c>
      <c r="D73">
        <v>1000</v>
      </c>
      <c r="E73">
        <v>5</v>
      </c>
      <c r="F73">
        <v>3458</v>
      </c>
      <c r="G73">
        <v>16.05</v>
      </c>
      <c r="H73">
        <v>3458</v>
      </c>
      <c r="I73">
        <v>9.4899999999999998E-2</v>
      </c>
      <c r="J73" t="b">
        <v>1</v>
      </c>
    </row>
    <row r="74" spans="1:10" x14ac:dyDescent="0.25">
      <c r="A74" t="s">
        <v>137</v>
      </c>
      <c r="B74">
        <v>1</v>
      </c>
      <c r="C74" t="s">
        <v>113</v>
      </c>
      <c r="D74">
        <v>800</v>
      </c>
      <c r="E74">
        <v>4</v>
      </c>
      <c r="F74">
        <v>3686</v>
      </c>
      <c r="G74">
        <v>5.6067</v>
      </c>
      <c r="H74">
        <v>3686</v>
      </c>
      <c r="I74">
        <v>9.4600000000000004E-2</v>
      </c>
      <c r="J74" t="b">
        <v>1</v>
      </c>
    </row>
    <row r="75" spans="1:10" x14ac:dyDescent="0.25">
      <c r="A75" t="s">
        <v>394</v>
      </c>
      <c r="B75">
        <v>3</v>
      </c>
      <c r="C75" t="s">
        <v>62</v>
      </c>
      <c r="D75">
        <v>300</v>
      </c>
      <c r="E75">
        <v>6</v>
      </c>
      <c r="F75">
        <v>1408</v>
      </c>
      <c r="G75">
        <v>0.5151</v>
      </c>
      <c r="H75">
        <v>1408</v>
      </c>
      <c r="I75">
        <v>9.4100000000000003E-2</v>
      </c>
      <c r="J75" t="b">
        <v>1</v>
      </c>
    </row>
    <row r="76" spans="1:10" x14ac:dyDescent="0.25">
      <c r="A76" t="s">
        <v>52</v>
      </c>
      <c r="B76">
        <v>1</v>
      </c>
      <c r="C76" t="s">
        <v>11</v>
      </c>
      <c r="D76">
        <v>300</v>
      </c>
      <c r="E76">
        <v>8</v>
      </c>
      <c r="F76">
        <v>1366</v>
      </c>
      <c r="G76">
        <v>0.41909999999999997</v>
      </c>
      <c r="H76">
        <v>1366</v>
      </c>
      <c r="I76">
        <v>9.4E-2</v>
      </c>
      <c r="J76" t="b">
        <v>1</v>
      </c>
    </row>
    <row r="77" spans="1:10" x14ac:dyDescent="0.25">
      <c r="A77" t="s">
        <v>142</v>
      </c>
      <c r="B77">
        <v>1</v>
      </c>
      <c r="C77" t="s">
        <v>113</v>
      </c>
      <c r="D77">
        <v>800</v>
      </c>
      <c r="E77">
        <v>5</v>
      </c>
      <c r="F77">
        <v>3632</v>
      </c>
      <c r="G77">
        <v>5.6456999999999997</v>
      </c>
      <c r="H77">
        <v>3632</v>
      </c>
      <c r="I77">
        <v>9.35E-2</v>
      </c>
      <c r="J77" t="b">
        <v>1</v>
      </c>
    </row>
    <row r="78" spans="1:10" x14ac:dyDescent="0.25">
      <c r="A78" t="s">
        <v>53</v>
      </c>
      <c r="B78">
        <v>1</v>
      </c>
      <c r="C78" t="s">
        <v>11</v>
      </c>
      <c r="D78">
        <v>500</v>
      </c>
      <c r="E78">
        <v>8</v>
      </c>
      <c r="F78">
        <v>2268</v>
      </c>
      <c r="G78">
        <v>1.8807</v>
      </c>
      <c r="H78">
        <v>2268</v>
      </c>
      <c r="I78">
        <v>9.3200000000000005E-2</v>
      </c>
      <c r="J78" t="b">
        <v>1</v>
      </c>
    </row>
    <row r="79" spans="1:10" x14ac:dyDescent="0.25">
      <c r="A79" t="s">
        <v>156</v>
      </c>
      <c r="B79">
        <v>1</v>
      </c>
      <c r="C79" t="s">
        <v>113</v>
      </c>
      <c r="D79">
        <v>700</v>
      </c>
      <c r="E79">
        <v>8</v>
      </c>
      <c r="F79">
        <v>3450</v>
      </c>
      <c r="G79">
        <v>5.2281000000000004</v>
      </c>
      <c r="H79">
        <v>3450</v>
      </c>
      <c r="I79">
        <v>9.3200000000000005E-2</v>
      </c>
      <c r="J79" t="b">
        <v>1</v>
      </c>
    </row>
    <row r="80" spans="1:10" x14ac:dyDescent="0.25">
      <c r="A80" t="s">
        <v>117</v>
      </c>
      <c r="B80">
        <v>1</v>
      </c>
      <c r="C80" t="s">
        <v>113</v>
      </c>
      <c r="D80">
        <v>800</v>
      </c>
      <c r="E80">
        <v>10</v>
      </c>
      <c r="F80">
        <v>3578</v>
      </c>
      <c r="G80">
        <v>5.9447000000000001</v>
      </c>
      <c r="H80">
        <v>3578</v>
      </c>
      <c r="I80">
        <v>9.3100000000000002E-2</v>
      </c>
      <c r="J80" t="b">
        <v>1</v>
      </c>
    </row>
    <row r="81" spans="1:10" x14ac:dyDescent="0.25">
      <c r="A81" t="s">
        <v>282</v>
      </c>
      <c r="B81">
        <v>2</v>
      </c>
      <c r="C81" t="s">
        <v>113</v>
      </c>
      <c r="D81">
        <v>800</v>
      </c>
      <c r="E81">
        <v>3</v>
      </c>
      <c r="F81">
        <v>2821</v>
      </c>
      <c r="G81">
        <v>4.5856000000000003</v>
      </c>
      <c r="H81">
        <v>2821</v>
      </c>
      <c r="I81">
        <v>9.2999999999999999E-2</v>
      </c>
      <c r="J81" t="b">
        <v>1</v>
      </c>
    </row>
    <row r="82" spans="1:10" x14ac:dyDescent="0.25">
      <c r="A82" t="s">
        <v>87</v>
      </c>
      <c r="B82">
        <v>1</v>
      </c>
      <c r="C82" t="s">
        <v>62</v>
      </c>
      <c r="D82">
        <v>1000</v>
      </c>
      <c r="E82">
        <v>5</v>
      </c>
      <c r="F82">
        <v>3691</v>
      </c>
      <c r="G82">
        <v>14.308400000000001</v>
      </c>
      <c r="H82">
        <v>3691</v>
      </c>
      <c r="I82">
        <v>9.1200000000000003E-2</v>
      </c>
      <c r="J82" t="b">
        <v>1</v>
      </c>
    </row>
    <row r="83" spans="1:10" x14ac:dyDescent="0.25">
      <c r="A83" t="s">
        <v>105</v>
      </c>
      <c r="B83">
        <v>1</v>
      </c>
      <c r="C83" t="s">
        <v>62</v>
      </c>
      <c r="D83">
        <v>700</v>
      </c>
      <c r="E83">
        <v>8</v>
      </c>
      <c r="F83">
        <v>2945</v>
      </c>
      <c r="G83">
        <v>5.8170000000000002</v>
      </c>
      <c r="H83">
        <v>2945</v>
      </c>
      <c r="I83">
        <v>9.1200000000000003E-2</v>
      </c>
      <c r="J83" t="b">
        <v>1</v>
      </c>
    </row>
    <row r="84" spans="1:10" x14ac:dyDescent="0.25">
      <c r="A84" t="s">
        <v>562</v>
      </c>
      <c r="B84">
        <v>4</v>
      </c>
      <c r="C84" t="s">
        <v>62</v>
      </c>
      <c r="D84">
        <v>800</v>
      </c>
      <c r="E84">
        <v>9</v>
      </c>
      <c r="F84">
        <v>3580</v>
      </c>
      <c r="G84">
        <v>70.539599999999993</v>
      </c>
      <c r="H84">
        <v>3580</v>
      </c>
      <c r="I84">
        <v>9.11E-2</v>
      </c>
      <c r="J84" t="b">
        <v>1</v>
      </c>
    </row>
    <row r="85" spans="1:10" x14ac:dyDescent="0.25">
      <c r="A85" t="s">
        <v>247</v>
      </c>
      <c r="B85">
        <v>2</v>
      </c>
      <c r="C85" t="s">
        <v>62</v>
      </c>
      <c r="D85">
        <v>800</v>
      </c>
      <c r="E85">
        <v>6</v>
      </c>
      <c r="F85">
        <v>2415</v>
      </c>
      <c r="G85">
        <v>3.8403</v>
      </c>
      <c r="H85">
        <v>2415</v>
      </c>
      <c r="I85">
        <v>9.06E-2</v>
      </c>
      <c r="J85" t="b">
        <v>1</v>
      </c>
    </row>
    <row r="86" spans="1:10" x14ac:dyDescent="0.25">
      <c r="A86" t="s">
        <v>283</v>
      </c>
      <c r="B86">
        <v>2</v>
      </c>
      <c r="C86" t="s">
        <v>113</v>
      </c>
      <c r="D86">
        <v>1000</v>
      </c>
      <c r="E86">
        <v>4</v>
      </c>
      <c r="F86">
        <v>3190</v>
      </c>
      <c r="G86">
        <v>8.5336999999999996</v>
      </c>
      <c r="H86">
        <v>3190</v>
      </c>
      <c r="I86">
        <v>8.9899999999999994E-2</v>
      </c>
      <c r="J86" t="b">
        <v>1</v>
      </c>
    </row>
    <row r="87" spans="1:10" x14ac:dyDescent="0.25">
      <c r="A87" t="s">
        <v>141</v>
      </c>
      <c r="B87">
        <v>1</v>
      </c>
      <c r="C87" t="s">
        <v>113</v>
      </c>
      <c r="D87">
        <v>700</v>
      </c>
      <c r="E87">
        <v>5</v>
      </c>
      <c r="F87">
        <v>3285</v>
      </c>
      <c r="G87">
        <v>5.9435000000000002</v>
      </c>
      <c r="H87">
        <v>3285</v>
      </c>
      <c r="I87">
        <v>8.9700000000000002E-2</v>
      </c>
      <c r="J87" t="b">
        <v>1</v>
      </c>
    </row>
    <row r="88" spans="1:10" x14ac:dyDescent="0.25">
      <c r="A88" t="s">
        <v>122</v>
      </c>
      <c r="B88">
        <v>1</v>
      </c>
      <c r="C88" t="s">
        <v>113</v>
      </c>
      <c r="D88">
        <v>800</v>
      </c>
      <c r="E88">
        <v>1</v>
      </c>
      <c r="F88">
        <v>3485</v>
      </c>
      <c r="G88">
        <v>5.7586000000000004</v>
      </c>
      <c r="H88">
        <v>3485</v>
      </c>
      <c r="I88">
        <v>8.9499999999999996E-2</v>
      </c>
      <c r="J88" t="b">
        <v>1</v>
      </c>
    </row>
    <row r="89" spans="1:10" x14ac:dyDescent="0.25">
      <c r="A89" t="s">
        <v>61</v>
      </c>
      <c r="B89">
        <v>1</v>
      </c>
      <c r="C89" t="s">
        <v>62</v>
      </c>
      <c r="D89">
        <v>1000</v>
      </c>
      <c r="E89">
        <v>10</v>
      </c>
      <c r="F89">
        <v>3688</v>
      </c>
      <c r="G89">
        <v>19.1401</v>
      </c>
      <c r="H89">
        <v>3688</v>
      </c>
      <c r="I89">
        <v>8.9200000000000002E-2</v>
      </c>
      <c r="J89" t="b">
        <v>1</v>
      </c>
    </row>
    <row r="90" spans="1:10" x14ac:dyDescent="0.25">
      <c r="A90" t="s">
        <v>131</v>
      </c>
      <c r="B90">
        <v>1</v>
      </c>
      <c r="C90" t="s">
        <v>113</v>
      </c>
      <c r="D90">
        <v>700</v>
      </c>
      <c r="E90">
        <v>3</v>
      </c>
      <c r="F90">
        <v>3177</v>
      </c>
      <c r="G90">
        <v>5.3766999999999996</v>
      </c>
      <c r="H90">
        <v>3177</v>
      </c>
      <c r="I90">
        <v>8.9200000000000002E-2</v>
      </c>
      <c r="J90" t="b">
        <v>1</v>
      </c>
    </row>
    <row r="91" spans="1:10" x14ac:dyDescent="0.25">
      <c r="A91" t="s">
        <v>128</v>
      </c>
      <c r="B91">
        <v>1</v>
      </c>
      <c r="C91" t="s">
        <v>113</v>
      </c>
      <c r="D91">
        <v>1000</v>
      </c>
      <c r="E91">
        <v>3</v>
      </c>
      <c r="F91">
        <v>4082</v>
      </c>
      <c r="G91">
        <v>16.755400000000002</v>
      </c>
      <c r="H91">
        <v>4082</v>
      </c>
      <c r="I91">
        <v>8.8900000000000007E-2</v>
      </c>
      <c r="J91" t="b">
        <v>1</v>
      </c>
    </row>
    <row r="92" spans="1:10" x14ac:dyDescent="0.25">
      <c r="A92" t="s">
        <v>132</v>
      </c>
      <c r="B92">
        <v>1</v>
      </c>
      <c r="C92" t="s">
        <v>113</v>
      </c>
      <c r="D92">
        <v>800</v>
      </c>
      <c r="E92">
        <v>3</v>
      </c>
      <c r="F92">
        <v>3672</v>
      </c>
      <c r="G92">
        <v>5.4546999999999999</v>
      </c>
      <c r="H92">
        <v>3672</v>
      </c>
      <c r="I92">
        <v>8.8900000000000007E-2</v>
      </c>
      <c r="J92" t="b">
        <v>1</v>
      </c>
    </row>
    <row r="93" spans="1:10" x14ac:dyDescent="0.25">
      <c r="A93" t="s">
        <v>77</v>
      </c>
      <c r="B93">
        <v>1</v>
      </c>
      <c r="C93" t="s">
        <v>62</v>
      </c>
      <c r="D93">
        <v>1000</v>
      </c>
      <c r="E93">
        <v>3</v>
      </c>
      <c r="F93">
        <v>3798</v>
      </c>
      <c r="G93">
        <v>19.880299999999998</v>
      </c>
      <c r="H93">
        <v>3798</v>
      </c>
      <c r="I93">
        <v>8.8599999999999998E-2</v>
      </c>
      <c r="J93" t="b">
        <v>1</v>
      </c>
    </row>
    <row r="94" spans="1:10" x14ac:dyDescent="0.25">
      <c r="A94" t="s">
        <v>121</v>
      </c>
      <c r="B94">
        <v>1</v>
      </c>
      <c r="C94" t="s">
        <v>113</v>
      </c>
      <c r="D94">
        <v>700</v>
      </c>
      <c r="E94">
        <v>1</v>
      </c>
      <c r="F94">
        <v>3107</v>
      </c>
      <c r="G94">
        <v>5.1468999999999996</v>
      </c>
      <c r="H94">
        <v>3107</v>
      </c>
      <c r="I94">
        <v>8.8499999999999995E-2</v>
      </c>
      <c r="J94" t="b">
        <v>1</v>
      </c>
    </row>
    <row r="95" spans="1:10" x14ac:dyDescent="0.25">
      <c r="A95" t="s">
        <v>35</v>
      </c>
      <c r="B95">
        <v>1</v>
      </c>
      <c r="C95" t="s">
        <v>11</v>
      </c>
      <c r="D95">
        <v>800</v>
      </c>
      <c r="E95">
        <v>4</v>
      </c>
      <c r="F95">
        <v>3322</v>
      </c>
      <c r="G95">
        <v>5.7111000000000001</v>
      </c>
      <c r="H95">
        <v>3322</v>
      </c>
      <c r="I95">
        <v>8.7999999999999995E-2</v>
      </c>
      <c r="J95" t="b">
        <v>1</v>
      </c>
    </row>
    <row r="96" spans="1:10" x14ac:dyDescent="0.25">
      <c r="A96" t="s">
        <v>487</v>
      </c>
      <c r="B96">
        <v>4</v>
      </c>
      <c r="C96" t="s">
        <v>11</v>
      </c>
      <c r="D96">
        <v>800</v>
      </c>
      <c r="E96">
        <v>4</v>
      </c>
      <c r="F96">
        <v>3730</v>
      </c>
      <c r="G96">
        <v>61.731099999999998</v>
      </c>
      <c r="H96">
        <v>3730</v>
      </c>
      <c r="I96">
        <v>8.7999999999999995E-2</v>
      </c>
      <c r="J96" t="b">
        <v>1</v>
      </c>
    </row>
    <row r="97" spans="1:10" x14ac:dyDescent="0.25">
      <c r="A97" t="s">
        <v>512</v>
      </c>
      <c r="B97">
        <v>4</v>
      </c>
      <c r="C97" t="s">
        <v>11</v>
      </c>
      <c r="D97">
        <v>800</v>
      </c>
      <c r="E97">
        <v>9</v>
      </c>
      <c r="F97">
        <v>3640</v>
      </c>
      <c r="G97">
        <v>61.610999999999997</v>
      </c>
      <c r="H97">
        <v>3640</v>
      </c>
      <c r="I97">
        <v>8.6699999999999999E-2</v>
      </c>
      <c r="J97" t="b">
        <v>1</v>
      </c>
    </row>
    <row r="98" spans="1:10" x14ac:dyDescent="0.25">
      <c r="A98" t="s">
        <v>107</v>
      </c>
      <c r="B98">
        <v>1</v>
      </c>
      <c r="C98" t="s">
        <v>62</v>
      </c>
      <c r="D98">
        <v>1000</v>
      </c>
      <c r="E98">
        <v>9</v>
      </c>
      <c r="F98">
        <v>3676</v>
      </c>
      <c r="G98">
        <v>16.003499999999999</v>
      </c>
      <c r="H98">
        <v>3676</v>
      </c>
      <c r="I98">
        <v>8.6199999999999999E-2</v>
      </c>
      <c r="J98" t="b">
        <v>1</v>
      </c>
    </row>
    <row r="99" spans="1:10" x14ac:dyDescent="0.25">
      <c r="A99" t="s">
        <v>513</v>
      </c>
      <c r="B99">
        <v>4</v>
      </c>
      <c r="C99" t="s">
        <v>62</v>
      </c>
      <c r="D99">
        <v>1000</v>
      </c>
      <c r="E99">
        <v>10</v>
      </c>
      <c r="F99">
        <v>4560</v>
      </c>
      <c r="G99">
        <v>139.66650000000001</v>
      </c>
      <c r="H99">
        <v>4560</v>
      </c>
      <c r="I99">
        <v>8.6099999999999996E-2</v>
      </c>
      <c r="J99" t="b">
        <v>1</v>
      </c>
    </row>
    <row r="100" spans="1:10" x14ac:dyDescent="0.25">
      <c r="A100" t="s">
        <v>29</v>
      </c>
      <c r="B100">
        <v>1</v>
      </c>
      <c r="C100" t="s">
        <v>11</v>
      </c>
      <c r="D100">
        <v>700</v>
      </c>
      <c r="E100">
        <v>3</v>
      </c>
      <c r="F100">
        <v>2927</v>
      </c>
      <c r="G100">
        <v>5.0670999999999999</v>
      </c>
      <c r="H100">
        <v>2927</v>
      </c>
      <c r="I100">
        <v>8.5999999999999993E-2</v>
      </c>
      <c r="J100" t="b">
        <v>1</v>
      </c>
    </row>
    <row r="101" spans="1:10" x14ac:dyDescent="0.25">
      <c r="A101" t="s">
        <v>286</v>
      </c>
      <c r="B101">
        <v>2</v>
      </c>
      <c r="C101" t="s">
        <v>113</v>
      </c>
      <c r="D101">
        <v>700</v>
      </c>
      <c r="E101">
        <v>4</v>
      </c>
      <c r="F101">
        <v>2199</v>
      </c>
      <c r="G101">
        <v>3.6686000000000001</v>
      </c>
      <c r="H101">
        <v>2199</v>
      </c>
      <c r="I101">
        <v>8.5999999999999993E-2</v>
      </c>
      <c r="J101" t="b">
        <v>1</v>
      </c>
    </row>
    <row r="102" spans="1:10" x14ac:dyDescent="0.25">
      <c r="A102" t="s">
        <v>147</v>
      </c>
      <c r="B102">
        <v>1</v>
      </c>
      <c r="C102" t="s">
        <v>113</v>
      </c>
      <c r="D102">
        <v>800</v>
      </c>
      <c r="E102">
        <v>6</v>
      </c>
      <c r="F102">
        <v>3494</v>
      </c>
      <c r="G102">
        <v>6.2965999999999998</v>
      </c>
      <c r="H102">
        <v>3494</v>
      </c>
      <c r="I102">
        <v>8.5599999999999996E-2</v>
      </c>
      <c r="J102" t="b">
        <v>1</v>
      </c>
    </row>
    <row r="103" spans="1:10" x14ac:dyDescent="0.25">
      <c r="A103" t="s">
        <v>101</v>
      </c>
      <c r="B103">
        <v>1</v>
      </c>
      <c r="C103" t="s">
        <v>62</v>
      </c>
      <c r="D103">
        <v>800</v>
      </c>
      <c r="E103">
        <v>7</v>
      </c>
      <c r="F103">
        <v>3109</v>
      </c>
      <c r="G103">
        <v>5.8342999999999998</v>
      </c>
      <c r="H103">
        <v>3109</v>
      </c>
      <c r="I103">
        <v>8.5500000000000007E-2</v>
      </c>
      <c r="J103" t="b">
        <v>1</v>
      </c>
    </row>
    <row r="104" spans="1:10" x14ac:dyDescent="0.25">
      <c r="A104" t="s">
        <v>76</v>
      </c>
      <c r="B104">
        <v>1</v>
      </c>
      <c r="C104" t="s">
        <v>62</v>
      </c>
      <c r="D104">
        <v>800</v>
      </c>
      <c r="E104">
        <v>2</v>
      </c>
      <c r="F104">
        <v>3083</v>
      </c>
      <c r="G104">
        <v>6.6258999999999997</v>
      </c>
      <c r="H104">
        <v>3083</v>
      </c>
      <c r="I104">
        <v>8.5199999999999998E-2</v>
      </c>
      <c r="J104" t="b">
        <v>1</v>
      </c>
    </row>
    <row r="105" spans="1:10" x14ac:dyDescent="0.25">
      <c r="A105" t="s">
        <v>23</v>
      </c>
      <c r="B105">
        <v>1</v>
      </c>
      <c r="C105" t="s">
        <v>11</v>
      </c>
      <c r="D105">
        <v>500</v>
      </c>
      <c r="E105">
        <v>2</v>
      </c>
      <c r="F105">
        <v>2182</v>
      </c>
      <c r="G105">
        <v>2.1604000000000001</v>
      </c>
      <c r="H105">
        <v>2182</v>
      </c>
      <c r="I105">
        <v>8.4500000000000006E-2</v>
      </c>
      <c r="J105" t="b">
        <v>1</v>
      </c>
    </row>
    <row r="106" spans="1:10" x14ac:dyDescent="0.25">
      <c r="A106" t="s">
        <v>233</v>
      </c>
      <c r="B106">
        <v>2</v>
      </c>
      <c r="C106" t="s">
        <v>62</v>
      </c>
      <c r="D106">
        <v>1000</v>
      </c>
      <c r="E106">
        <v>4</v>
      </c>
      <c r="F106">
        <v>3049</v>
      </c>
      <c r="G106">
        <v>11.5321</v>
      </c>
      <c r="H106">
        <v>3049</v>
      </c>
      <c r="I106">
        <v>8.43E-2</v>
      </c>
      <c r="J106" t="b">
        <v>1</v>
      </c>
    </row>
    <row r="107" spans="1:10" x14ac:dyDescent="0.25">
      <c r="A107" t="s">
        <v>46</v>
      </c>
      <c r="B107">
        <v>1</v>
      </c>
      <c r="C107" t="s">
        <v>11</v>
      </c>
      <c r="D107">
        <v>1000</v>
      </c>
      <c r="E107">
        <v>7</v>
      </c>
      <c r="F107">
        <v>3731</v>
      </c>
      <c r="G107">
        <v>17.386099999999999</v>
      </c>
      <c r="H107">
        <v>3731</v>
      </c>
      <c r="I107">
        <v>8.3500000000000005E-2</v>
      </c>
      <c r="J107" t="b">
        <v>1</v>
      </c>
    </row>
    <row r="108" spans="1:10" x14ac:dyDescent="0.25">
      <c r="A108" t="s">
        <v>33</v>
      </c>
      <c r="B108">
        <v>1</v>
      </c>
      <c r="C108" t="s">
        <v>11</v>
      </c>
      <c r="D108">
        <v>500</v>
      </c>
      <c r="E108">
        <v>4</v>
      </c>
      <c r="F108">
        <v>2171</v>
      </c>
      <c r="G108">
        <v>2.0874000000000001</v>
      </c>
      <c r="H108">
        <v>2171</v>
      </c>
      <c r="I108">
        <v>8.3199999999999996E-2</v>
      </c>
      <c r="J108" t="b">
        <v>1</v>
      </c>
    </row>
    <row r="109" spans="1:10" x14ac:dyDescent="0.25">
      <c r="A109" t="s">
        <v>338</v>
      </c>
      <c r="B109">
        <v>3</v>
      </c>
      <c r="C109" t="s">
        <v>11</v>
      </c>
      <c r="D109">
        <v>1000</v>
      </c>
      <c r="E109">
        <v>5</v>
      </c>
      <c r="F109">
        <v>4660</v>
      </c>
      <c r="G109">
        <v>162.53210000000001</v>
      </c>
      <c r="H109">
        <v>4660</v>
      </c>
      <c r="I109">
        <v>8.3199999999999996E-2</v>
      </c>
      <c r="J109" t="b">
        <v>1</v>
      </c>
    </row>
    <row r="110" spans="1:10" x14ac:dyDescent="0.25">
      <c r="A110" t="s">
        <v>326</v>
      </c>
      <c r="B110">
        <v>3</v>
      </c>
      <c r="C110" t="s">
        <v>11</v>
      </c>
      <c r="D110">
        <v>700</v>
      </c>
      <c r="E110">
        <v>2</v>
      </c>
      <c r="F110">
        <v>3092</v>
      </c>
      <c r="G110">
        <v>28.041499999999999</v>
      </c>
      <c r="H110">
        <v>3092</v>
      </c>
      <c r="I110">
        <v>8.2900000000000001E-2</v>
      </c>
      <c r="J110" t="b">
        <v>1</v>
      </c>
    </row>
    <row r="111" spans="1:10" x14ac:dyDescent="0.25">
      <c r="A111" t="s">
        <v>66</v>
      </c>
      <c r="B111">
        <v>1</v>
      </c>
      <c r="C111" t="s">
        <v>62</v>
      </c>
      <c r="D111">
        <v>800</v>
      </c>
      <c r="E111">
        <v>10</v>
      </c>
      <c r="F111">
        <v>3219</v>
      </c>
      <c r="G111">
        <v>6.0715000000000003</v>
      </c>
      <c r="H111">
        <v>3219</v>
      </c>
      <c r="I111">
        <v>8.2500000000000004E-2</v>
      </c>
      <c r="J111" t="b">
        <v>1</v>
      </c>
    </row>
    <row r="112" spans="1:10" x14ac:dyDescent="0.25">
      <c r="A112" t="s">
        <v>70</v>
      </c>
      <c r="B112">
        <v>1</v>
      </c>
      <c r="C112" t="s">
        <v>62</v>
      </c>
      <c r="D112">
        <v>700</v>
      </c>
      <c r="E112">
        <v>1</v>
      </c>
      <c r="F112">
        <v>3029</v>
      </c>
      <c r="G112">
        <v>5.1153000000000004</v>
      </c>
      <c r="H112">
        <v>3029</v>
      </c>
      <c r="I112">
        <v>8.2100000000000006E-2</v>
      </c>
      <c r="J112" t="b">
        <v>1</v>
      </c>
    </row>
    <row r="113" spans="1:10" x14ac:dyDescent="0.25">
      <c r="A113" t="s">
        <v>138</v>
      </c>
      <c r="B113">
        <v>1</v>
      </c>
      <c r="C113" t="s">
        <v>113</v>
      </c>
      <c r="D113">
        <v>1000</v>
      </c>
      <c r="E113">
        <v>5</v>
      </c>
      <c r="F113">
        <v>4096</v>
      </c>
      <c r="G113">
        <v>16.975000000000001</v>
      </c>
      <c r="H113">
        <v>4096</v>
      </c>
      <c r="I113">
        <v>8.1900000000000001E-2</v>
      </c>
      <c r="J113" t="b">
        <v>1</v>
      </c>
    </row>
    <row r="114" spans="1:10" x14ac:dyDescent="0.25">
      <c r="A114" t="s">
        <v>157</v>
      </c>
      <c r="B114">
        <v>1</v>
      </c>
      <c r="C114" t="s">
        <v>113</v>
      </c>
      <c r="D114">
        <v>800</v>
      </c>
      <c r="E114">
        <v>8</v>
      </c>
      <c r="F114">
        <v>3806</v>
      </c>
      <c r="G114">
        <v>7.0282</v>
      </c>
      <c r="H114">
        <v>3806</v>
      </c>
      <c r="I114">
        <v>8.1900000000000001E-2</v>
      </c>
      <c r="J114" t="b">
        <v>1</v>
      </c>
    </row>
    <row r="115" spans="1:10" x14ac:dyDescent="0.25">
      <c r="A115" t="s">
        <v>127</v>
      </c>
      <c r="B115">
        <v>1</v>
      </c>
      <c r="C115" t="s">
        <v>113</v>
      </c>
      <c r="D115">
        <v>800</v>
      </c>
      <c r="E115">
        <v>2</v>
      </c>
      <c r="F115">
        <v>3613</v>
      </c>
      <c r="G115">
        <v>6.1372999999999998</v>
      </c>
      <c r="H115">
        <v>3613</v>
      </c>
      <c r="I115">
        <v>8.1100000000000005E-2</v>
      </c>
      <c r="J115" t="b">
        <v>1</v>
      </c>
    </row>
    <row r="116" spans="1:10" x14ac:dyDescent="0.25">
      <c r="A116" t="s">
        <v>480</v>
      </c>
      <c r="B116">
        <v>4</v>
      </c>
      <c r="C116" t="s">
        <v>11</v>
      </c>
      <c r="D116">
        <v>500</v>
      </c>
      <c r="E116">
        <v>3</v>
      </c>
      <c r="F116">
        <v>2229</v>
      </c>
      <c r="G116">
        <v>7.0239000000000003</v>
      </c>
      <c r="H116">
        <v>2229</v>
      </c>
      <c r="I116">
        <v>8.0699999999999994E-2</v>
      </c>
      <c r="J116" t="b">
        <v>1</v>
      </c>
    </row>
    <row r="117" spans="1:10" x14ac:dyDescent="0.25">
      <c r="A117" t="s">
        <v>333</v>
      </c>
      <c r="B117">
        <v>3</v>
      </c>
      <c r="C117" t="s">
        <v>11</v>
      </c>
      <c r="D117">
        <v>1000</v>
      </c>
      <c r="E117">
        <v>4</v>
      </c>
      <c r="F117">
        <v>4654</v>
      </c>
      <c r="G117">
        <v>155.47489999999999</v>
      </c>
      <c r="H117">
        <v>4654</v>
      </c>
      <c r="I117">
        <v>8.0500000000000002E-2</v>
      </c>
      <c r="J117" t="b">
        <v>1</v>
      </c>
    </row>
    <row r="118" spans="1:10" x14ac:dyDescent="0.25">
      <c r="A118" t="s">
        <v>25</v>
      </c>
      <c r="B118">
        <v>1</v>
      </c>
      <c r="C118" t="s">
        <v>11</v>
      </c>
      <c r="D118">
        <v>800</v>
      </c>
      <c r="E118">
        <v>2</v>
      </c>
      <c r="F118">
        <v>3252</v>
      </c>
      <c r="G118">
        <v>5.5111999999999997</v>
      </c>
      <c r="H118">
        <v>3252</v>
      </c>
      <c r="I118">
        <v>8.0299999999999996E-2</v>
      </c>
      <c r="J118" t="b">
        <v>1</v>
      </c>
    </row>
    <row r="119" spans="1:10" x14ac:dyDescent="0.25">
      <c r="A119" t="s">
        <v>515</v>
      </c>
      <c r="B119">
        <v>4</v>
      </c>
      <c r="C119" t="s">
        <v>62</v>
      </c>
      <c r="D119">
        <v>500</v>
      </c>
      <c r="E119">
        <v>10</v>
      </c>
      <c r="F119">
        <v>2185</v>
      </c>
      <c r="G119">
        <v>5.1173000000000002</v>
      </c>
      <c r="H119">
        <v>2185</v>
      </c>
      <c r="I119">
        <v>8.0299999999999996E-2</v>
      </c>
      <c r="J119" t="b">
        <v>1</v>
      </c>
    </row>
    <row r="120" spans="1:10" x14ac:dyDescent="0.25">
      <c r="A120" t="s">
        <v>41</v>
      </c>
      <c r="B120">
        <v>1</v>
      </c>
      <c r="C120" t="s">
        <v>11</v>
      </c>
      <c r="D120">
        <v>1000</v>
      </c>
      <c r="E120">
        <v>6</v>
      </c>
      <c r="F120">
        <v>3872</v>
      </c>
      <c r="G120">
        <v>14.964399999999999</v>
      </c>
      <c r="H120">
        <v>3872</v>
      </c>
      <c r="I120">
        <v>0.08</v>
      </c>
      <c r="J120" t="b">
        <v>1</v>
      </c>
    </row>
    <row r="121" spans="1:10" x14ac:dyDescent="0.25">
      <c r="A121" t="s">
        <v>92</v>
      </c>
      <c r="B121">
        <v>1</v>
      </c>
      <c r="C121" t="s">
        <v>62</v>
      </c>
      <c r="D121">
        <v>1000</v>
      </c>
      <c r="E121">
        <v>6</v>
      </c>
      <c r="F121">
        <v>3644</v>
      </c>
      <c r="G121">
        <v>17.964200000000002</v>
      </c>
      <c r="H121">
        <v>3644</v>
      </c>
      <c r="I121">
        <v>0.08</v>
      </c>
      <c r="J121" t="b">
        <v>1</v>
      </c>
    </row>
    <row r="122" spans="1:10" x14ac:dyDescent="0.25">
      <c r="A122" t="s">
        <v>55</v>
      </c>
      <c r="B122">
        <v>1</v>
      </c>
      <c r="C122" t="s">
        <v>11</v>
      </c>
      <c r="D122">
        <v>800</v>
      </c>
      <c r="E122">
        <v>8</v>
      </c>
      <c r="F122">
        <v>3059</v>
      </c>
      <c r="G122">
        <v>5.6509999999999998</v>
      </c>
      <c r="H122">
        <v>3059</v>
      </c>
      <c r="I122">
        <v>7.9399999999999998E-2</v>
      </c>
      <c r="J122" t="b">
        <v>1</v>
      </c>
    </row>
    <row r="123" spans="1:10" x14ac:dyDescent="0.25">
      <c r="A123" t="s">
        <v>85</v>
      </c>
      <c r="B123">
        <v>1</v>
      </c>
      <c r="C123" t="s">
        <v>62</v>
      </c>
      <c r="D123">
        <v>700</v>
      </c>
      <c r="E123">
        <v>4</v>
      </c>
      <c r="F123">
        <v>2896</v>
      </c>
      <c r="G123">
        <v>5.6044999999999998</v>
      </c>
      <c r="H123">
        <v>2896</v>
      </c>
      <c r="I123">
        <v>7.9299999999999995E-2</v>
      </c>
      <c r="J123" t="b">
        <v>1</v>
      </c>
    </row>
    <row r="124" spans="1:10" x14ac:dyDescent="0.25">
      <c r="A124" t="s">
        <v>97</v>
      </c>
      <c r="B124">
        <v>1</v>
      </c>
      <c r="C124" t="s">
        <v>62</v>
      </c>
      <c r="D124">
        <v>1000</v>
      </c>
      <c r="E124">
        <v>7</v>
      </c>
      <c r="F124">
        <v>3721</v>
      </c>
      <c r="G124">
        <v>15.6836</v>
      </c>
      <c r="H124">
        <v>3721</v>
      </c>
      <c r="I124">
        <v>7.9200000000000007E-2</v>
      </c>
      <c r="J124" t="b">
        <v>1</v>
      </c>
    </row>
    <row r="125" spans="1:10" x14ac:dyDescent="0.25">
      <c r="A125" t="s">
        <v>112</v>
      </c>
      <c r="B125">
        <v>1</v>
      </c>
      <c r="C125" t="s">
        <v>113</v>
      </c>
      <c r="D125">
        <v>1000</v>
      </c>
      <c r="E125">
        <v>10</v>
      </c>
      <c r="F125">
        <v>4454</v>
      </c>
      <c r="G125">
        <v>17.642299999999999</v>
      </c>
      <c r="H125">
        <v>4454</v>
      </c>
      <c r="I125">
        <v>7.8700000000000006E-2</v>
      </c>
      <c r="J125" t="b">
        <v>1</v>
      </c>
    </row>
    <row r="126" spans="1:10" x14ac:dyDescent="0.25">
      <c r="A126" t="s">
        <v>268</v>
      </c>
      <c r="B126">
        <v>2</v>
      </c>
      <c r="C126" t="s">
        <v>113</v>
      </c>
      <c r="D126">
        <v>1000</v>
      </c>
      <c r="E126">
        <v>1</v>
      </c>
      <c r="F126">
        <v>2863</v>
      </c>
      <c r="G126">
        <v>6.3009000000000004</v>
      </c>
      <c r="H126">
        <v>2863</v>
      </c>
      <c r="I126">
        <v>7.8700000000000006E-2</v>
      </c>
      <c r="J126" t="b">
        <v>1</v>
      </c>
    </row>
    <row r="127" spans="1:10" x14ac:dyDescent="0.25">
      <c r="A127" t="s">
        <v>116</v>
      </c>
      <c r="B127">
        <v>1</v>
      </c>
      <c r="C127" t="s">
        <v>113</v>
      </c>
      <c r="D127">
        <v>700</v>
      </c>
      <c r="E127">
        <v>10</v>
      </c>
      <c r="F127">
        <v>3368</v>
      </c>
      <c r="G127">
        <v>5.6729000000000003</v>
      </c>
      <c r="H127">
        <v>3368</v>
      </c>
      <c r="I127">
        <v>7.8399999999999997E-2</v>
      </c>
      <c r="J127" t="b">
        <v>1</v>
      </c>
    </row>
    <row r="128" spans="1:10" x14ac:dyDescent="0.25">
      <c r="A128" t="s">
        <v>143</v>
      </c>
      <c r="B128">
        <v>1</v>
      </c>
      <c r="C128" t="s">
        <v>113</v>
      </c>
      <c r="D128">
        <v>1000</v>
      </c>
      <c r="E128">
        <v>6</v>
      </c>
      <c r="F128">
        <v>4413</v>
      </c>
      <c r="G128">
        <v>17.348600000000001</v>
      </c>
      <c r="H128">
        <v>4413</v>
      </c>
      <c r="I128">
        <v>7.7399999999999997E-2</v>
      </c>
      <c r="J128" t="b">
        <v>1</v>
      </c>
    </row>
    <row r="129" spans="1:10" x14ac:dyDescent="0.25">
      <c r="A129" t="s">
        <v>151</v>
      </c>
      <c r="B129">
        <v>1</v>
      </c>
      <c r="C129" t="s">
        <v>113</v>
      </c>
      <c r="D129">
        <v>700</v>
      </c>
      <c r="E129">
        <v>7</v>
      </c>
      <c r="F129">
        <v>3341</v>
      </c>
      <c r="G129">
        <v>4.9518000000000004</v>
      </c>
      <c r="H129">
        <v>3341</v>
      </c>
      <c r="I129">
        <v>7.7399999999999997E-2</v>
      </c>
      <c r="J129" t="b">
        <v>1</v>
      </c>
    </row>
    <row r="130" spans="1:10" x14ac:dyDescent="0.25">
      <c r="A130" t="s">
        <v>168</v>
      </c>
      <c r="B130">
        <v>2</v>
      </c>
      <c r="C130" t="s">
        <v>11</v>
      </c>
      <c r="D130">
        <v>1000</v>
      </c>
      <c r="E130">
        <v>1</v>
      </c>
      <c r="F130">
        <v>2279</v>
      </c>
      <c r="G130">
        <v>6.3882000000000003</v>
      </c>
      <c r="H130">
        <v>2279</v>
      </c>
      <c r="I130">
        <v>7.6999999999999999E-2</v>
      </c>
      <c r="J130" t="b">
        <v>1</v>
      </c>
    </row>
    <row r="131" spans="1:10" x14ac:dyDescent="0.25">
      <c r="A131" t="s">
        <v>54</v>
      </c>
      <c r="B131">
        <v>1</v>
      </c>
      <c r="C131" t="s">
        <v>11</v>
      </c>
      <c r="D131">
        <v>700</v>
      </c>
      <c r="E131">
        <v>8</v>
      </c>
      <c r="F131">
        <v>2878</v>
      </c>
      <c r="G131">
        <v>4.6764000000000001</v>
      </c>
      <c r="H131">
        <v>2878</v>
      </c>
      <c r="I131">
        <v>7.6700000000000004E-2</v>
      </c>
      <c r="J131" t="b">
        <v>1</v>
      </c>
    </row>
    <row r="132" spans="1:10" x14ac:dyDescent="0.25">
      <c r="A132" t="s">
        <v>96</v>
      </c>
      <c r="B132">
        <v>1</v>
      </c>
      <c r="C132" t="s">
        <v>62</v>
      </c>
      <c r="D132">
        <v>800</v>
      </c>
      <c r="E132">
        <v>6</v>
      </c>
      <c r="F132">
        <v>3183</v>
      </c>
      <c r="G132">
        <v>6.0923999999999996</v>
      </c>
      <c r="H132">
        <v>3183</v>
      </c>
      <c r="I132">
        <v>7.6600000000000001E-2</v>
      </c>
      <c r="J132" t="b">
        <v>1</v>
      </c>
    </row>
    <row r="133" spans="1:10" x14ac:dyDescent="0.25">
      <c r="A133" t="s">
        <v>307</v>
      </c>
      <c r="B133">
        <v>2</v>
      </c>
      <c r="C133" t="s">
        <v>113</v>
      </c>
      <c r="D133">
        <v>800</v>
      </c>
      <c r="E133">
        <v>8</v>
      </c>
      <c r="F133">
        <v>2582</v>
      </c>
      <c r="G133">
        <v>4.5010000000000003</v>
      </c>
      <c r="H133">
        <v>2582</v>
      </c>
      <c r="I133">
        <v>7.6499999999999999E-2</v>
      </c>
      <c r="J133" t="b">
        <v>1</v>
      </c>
    </row>
    <row r="134" spans="1:10" x14ac:dyDescent="0.25">
      <c r="A134" t="s">
        <v>218</v>
      </c>
      <c r="B134">
        <v>2</v>
      </c>
      <c r="C134" t="s">
        <v>62</v>
      </c>
      <c r="D134">
        <v>1000</v>
      </c>
      <c r="E134">
        <v>1</v>
      </c>
      <c r="F134">
        <v>2620</v>
      </c>
      <c r="G134">
        <v>6.9385000000000003</v>
      </c>
      <c r="H134">
        <v>2620</v>
      </c>
      <c r="I134">
        <v>7.51E-2</v>
      </c>
      <c r="J134" t="b">
        <v>1</v>
      </c>
    </row>
    <row r="135" spans="1:10" x14ac:dyDescent="0.25">
      <c r="A135" t="s">
        <v>195</v>
      </c>
      <c r="B135">
        <v>2</v>
      </c>
      <c r="C135" t="s">
        <v>11</v>
      </c>
      <c r="D135">
        <v>500</v>
      </c>
      <c r="E135">
        <v>6</v>
      </c>
      <c r="F135">
        <v>1712</v>
      </c>
      <c r="G135">
        <v>2.3407</v>
      </c>
      <c r="H135">
        <v>1712</v>
      </c>
      <c r="I135">
        <v>7.4999999999999997E-2</v>
      </c>
      <c r="J135" t="b">
        <v>1</v>
      </c>
    </row>
    <row r="136" spans="1:10" x14ac:dyDescent="0.25">
      <c r="A136" t="s">
        <v>79</v>
      </c>
      <c r="B136">
        <v>1</v>
      </c>
      <c r="C136" t="s">
        <v>62</v>
      </c>
      <c r="D136">
        <v>500</v>
      </c>
      <c r="E136">
        <v>3</v>
      </c>
      <c r="F136">
        <v>2110</v>
      </c>
      <c r="G136">
        <v>2.3557000000000001</v>
      </c>
      <c r="H136">
        <v>2110</v>
      </c>
      <c r="I136">
        <v>7.4800000000000005E-2</v>
      </c>
      <c r="J136" t="b">
        <v>1</v>
      </c>
    </row>
    <row r="137" spans="1:10" x14ac:dyDescent="0.25">
      <c r="A137" t="s">
        <v>15</v>
      </c>
      <c r="B137">
        <v>1</v>
      </c>
      <c r="C137" t="s">
        <v>11</v>
      </c>
      <c r="D137">
        <v>800</v>
      </c>
      <c r="E137">
        <v>10</v>
      </c>
      <c r="F137">
        <v>3266</v>
      </c>
      <c r="G137">
        <v>7.4302999999999999</v>
      </c>
      <c r="H137">
        <v>3266</v>
      </c>
      <c r="I137">
        <v>7.4399999999999994E-2</v>
      </c>
      <c r="J137" t="b">
        <v>1</v>
      </c>
    </row>
    <row r="138" spans="1:10" x14ac:dyDescent="0.25">
      <c r="A138" t="s">
        <v>110</v>
      </c>
      <c r="B138">
        <v>1</v>
      </c>
      <c r="C138" t="s">
        <v>62</v>
      </c>
      <c r="D138">
        <v>700</v>
      </c>
      <c r="E138">
        <v>9</v>
      </c>
      <c r="F138">
        <v>2837</v>
      </c>
      <c r="G138">
        <v>5.2945000000000002</v>
      </c>
      <c r="H138">
        <v>2837</v>
      </c>
      <c r="I138">
        <v>7.4099999999999999E-2</v>
      </c>
      <c r="J138" t="b">
        <v>1</v>
      </c>
    </row>
    <row r="139" spans="1:10" x14ac:dyDescent="0.25">
      <c r="A139" t="s">
        <v>19</v>
      </c>
      <c r="B139">
        <v>1</v>
      </c>
      <c r="C139" t="s">
        <v>11</v>
      </c>
      <c r="D139">
        <v>700</v>
      </c>
      <c r="E139">
        <v>1</v>
      </c>
      <c r="F139">
        <v>2803</v>
      </c>
      <c r="G139">
        <v>5.1833999999999998</v>
      </c>
      <c r="H139">
        <v>2803</v>
      </c>
      <c r="I139">
        <v>7.3999999999999996E-2</v>
      </c>
      <c r="J139" t="b">
        <v>1</v>
      </c>
    </row>
    <row r="140" spans="1:10" x14ac:dyDescent="0.25">
      <c r="A140" t="s">
        <v>165</v>
      </c>
      <c r="B140">
        <v>2</v>
      </c>
      <c r="C140" t="s">
        <v>11</v>
      </c>
      <c r="D140">
        <v>500</v>
      </c>
      <c r="E140">
        <v>10</v>
      </c>
      <c r="F140">
        <v>1645</v>
      </c>
      <c r="G140">
        <v>2.7673999999999999</v>
      </c>
      <c r="H140">
        <v>1645</v>
      </c>
      <c r="I140">
        <v>7.3599999999999999E-2</v>
      </c>
      <c r="J140" t="b">
        <v>1</v>
      </c>
    </row>
    <row r="141" spans="1:10" x14ac:dyDescent="0.25">
      <c r="A141" t="s">
        <v>498</v>
      </c>
      <c r="B141">
        <v>4</v>
      </c>
      <c r="C141" t="s">
        <v>11</v>
      </c>
      <c r="D141">
        <v>1000</v>
      </c>
      <c r="E141">
        <v>7</v>
      </c>
      <c r="F141">
        <v>4560</v>
      </c>
      <c r="G141">
        <v>149.2448</v>
      </c>
      <c r="H141">
        <v>4560</v>
      </c>
      <c r="I141">
        <v>7.2900000000000006E-2</v>
      </c>
      <c r="J141" t="b">
        <v>1</v>
      </c>
    </row>
    <row r="142" spans="1:10" x14ac:dyDescent="0.25">
      <c r="A142" t="s">
        <v>50</v>
      </c>
      <c r="B142">
        <v>1</v>
      </c>
      <c r="C142" t="s">
        <v>11</v>
      </c>
      <c r="D142">
        <v>800</v>
      </c>
      <c r="E142">
        <v>7</v>
      </c>
      <c r="F142">
        <v>3140</v>
      </c>
      <c r="G142">
        <v>5.5609999999999999</v>
      </c>
      <c r="H142">
        <v>3140</v>
      </c>
      <c r="I142">
        <v>7.2800000000000004E-2</v>
      </c>
      <c r="J142" t="b">
        <v>1</v>
      </c>
    </row>
    <row r="143" spans="1:10" x14ac:dyDescent="0.25">
      <c r="A143" t="s">
        <v>561</v>
      </c>
      <c r="B143">
        <v>4</v>
      </c>
      <c r="C143" t="s">
        <v>62</v>
      </c>
      <c r="D143">
        <v>700</v>
      </c>
      <c r="E143">
        <v>9</v>
      </c>
      <c r="F143">
        <v>3205</v>
      </c>
      <c r="G143">
        <v>23.9983</v>
      </c>
      <c r="H143">
        <v>3205</v>
      </c>
      <c r="I143">
        <v>7.2499999999999995E-2</v>
      </c>
      <c r="J143" t="b">
        <v>1</v>
      </c>
    </row>
    <row r="144" spans="1:10" x14ac:dyDescent="0.25">
      <c r="A144" t="s">
        <v>136</v>
      </c>
      <c r="B144">
        <v>1</v>
      </c>
      <c r="C144" t="s">
        <v>113</v>
      </c>
      <c r="D144">
        <v>700</v>
      </c>
      <c r="E144">
        <v>4</v>
      </c>
      <c r="F144">
        <v>3160</v>
      </c>
      <c r="G144">
        <v>4.9966999999999997</v>
      </c>
      <c r="H144">
        <v>3160</v>
      </c>
      <c r="I144">
        <v>7.22E-2</v>
      </c>
      <c r="J144" t="b">
        <v>1</v>
      </c>
    </row>
    <row r="145" spans="1:10" x14ac:dyDescent="0.25">
      <c r="A145" t="s">
        <v>42</v>
      </c>
      <c r="B145">
        <v>1</v>
      </c>
      <c r="C145" t="s">
        <v>11</v>
      </c>
      <c r="D145">
        <v>300</v>
      </c>
      <c r="E145">
        <v>6</v>
      </c>
      <c r="F145">
        <v>1295</v>
      </c>
      <c r="G145">
        <v>0.39029999999999998</v>
      </c>
      <c r="H145">
        <v>1295</v>
      </c>
      <c r="I145">
        <v>7.1999999999999995E-2</v>
      </c>
      <c r="J145" t="b">
        <v>1</v>
      </c>
    </row>
    <row r="146" spans="1:10" x14ac:dyDescent="0.25">
      <c r="A146" t="s">
        <v>146</v>
      </c>
      <c r="B146">
        <v>1</v>
      </c>
      <c r="C146" t="s">
        <v>113</v>
      </c>
      <c r="D146">
        <v>700</v>
      </c>
      <c r="E146">
        <v>6</v>
      </c>
      <c r="F146">
        <v>3349</v>
      </c>
      <c r="G146">
        <v>5.3498000000000001</v>
      </c>
      <c r="H146">
        <v>3349</v>
      </c>
      <c r="I146">
        <v>7.1999999999999995E-2</v>
      </c>
      <c r="J146" t="b">
        <v>1</v>
      </c>
    </row>
    <row r="147" spans="1:10" x14ac:dyDescent="0.25">
      <c r="A147" t="s">
        <v>376</v>
      </c>
      <c r="B147">
        <v>3</v>
      </c>
      <c r="C147" t="s">
        <v>62</v>
      </c>
      <c r="D147">
        <v>700</v>
      </c>
      <c r="E147">
        <v>2</v>
      </c>
      <c r="F147">
        <v>3141</v>
      </c>
      <c r="G147">
        <v>26.180499999999999</v>
      </c>
      <c r="H147">
        <v>3141</v>
      </c>
      <c r="I147">
        <v>7.1499999999999994E-2</v>
      </c>
      <c r="J147" t="b">
        <v>1</v>
      </c>
    </row>
    <row r="148" spans="1:10" x14ac:dyDescent="0.25">
      <c r="A148" t="s">
        <v>13</v>
      </c>
      <c r="B148">
        <v>1</v>
      </c>
      <c r="C148" t="s">
        <v>11</v>
      </c>
      <c r="D148">
        <v>500</v>
      </c>
      <c r="E148">
        <v>10</v>
      </c>
      <c r="F148">
        <v>2135</v>
      </c>
      <c r="G148">
        <v>1.8947000000000001</v>
      </c>
      <c r="H148">
        <v>2135</v>
      </c>
      <c r="I148">
        <v>7.0099999999999996E-2</v>
      </c>
      <c r="J148" t="b">
        <v>1</v>
      </c>
    </row>
    <row r="149" spans="1:10" x14ac:dyDescent="0.25">
      <c r="A149" t="s">
        <v>14</v>
      </c>
      <c r="B149">
        <v>1</v>
      </c>
      <c r="C149" t="s">
        <v>11</v>
      </c>
      <c r="D149">
        <v>700</v>
      </c>
      <c r="E149">
        <v>10</v>
      </c>
      <c r="F149">
        <v>2945</v>
      </c>
      <c r="G149">
        <v>6.0942999999999996</v>
      </c>
      <c r="H149">
        <v>2945</v>
      </c>
      <c r="I149">
        <v>7.0099999999999996E-2</v>
      </c>
      <c r="J149" t="b">
        <v>1</v>
      </c>
    </row>
    <row r="150" spans="1:10" x14ac:dyDescent="0.25">
      <c r="A150" t="s">
        <v>528</v>
      </c>
      <c r="B150">
        <v>4</v>
      </c>
      <c r="C150" t="s">
        <v>62</v>
      </c>
      <c r="D150">
        <v>1000</v>
      </c>
      <c r="E150">
        <v>3</v>
      </c>
      <c r="F150">
        <v>4750</v>
      </c>
      <c r="G150">
        <v>135.6636</v>
      </c>
      <c r="H150">
        <v>4750</v>
      </c>
      <c r="I150">
        <v>6.9900000000000004E-2</v>
      </c>
      <c r="J150" t="b">
        <v>1</v>
      </c>
    </row>
    <row r="151" spans="1:10" x14ac:dyDescent="0.25">
      <c r="A151" t="s">
        <v>161</v>
      </c>
      <c r="B151">
        <v>1</v>
      </c>
      <c r="C151" t="s">
        <v>113</v>
      </c>
      <c r="D151">
        <v>700</v>
      </c>
      <c r="E151">
        <v>9</v>
      </c>
      <c r="F151">
        <v>3365</v>
      </c>
      <c r="G151">
        <v>5</v>
      </c>
      <c r="H151">
        <v>3365</v>
      </c>
      <c r="I151">
        <v>6.9699999999999998E-2</v>
      </c>
      <c r="J151" t="b">
        <v>1</v>
      </c>
    </row>
    <row r="152" spans="1:10" x14ac:dyDescent="0.25">
      <c r="A152" t="s">
        <v>353</v>
      </c>
      <c r="B152">
        <v>3</v>
      </c>
      <c r="C152" t="s">
        <v>11</v>
      </c>
      <c r="D152">
        <v>1000</v>
      </c>
      <c r="E152">
        <v>8</v>
      </c>
      <c r="F152">
        <v>4550</v>
      </c>
      <c r="G152">
        <v>160.34829999999999</v>
      </c>
      <c r="H152">
        <v>4550</v>
      </c>
      <c r="I152">
        <v>6.9099999999999995E-2</v>
      </c>
      <c r="J152" t="b">
        <v>1</v>
      </c>
    </row>
    <row r="153" spans="1:10" x14ac:dyDescent="0.25">
      <c r="A153" t="s">
        <v>106</v>
      </c>
      <c r="B153">
        <v>1</v>
      </c>
      <c r="C153" t="s">
        <v>62</v>
      </c>
      <c r="D153">
        <v>800</v>
      </c>
      <c r="E153">
        <v>8</v>
      </c>
      <c r="F153">
        <v>3177</v>
      </c>
      <c r="G153">
        <v>6.0266999999999999</v>
      </c>
      <c r="H153">
        <v>3177</v>
      </c>
      <c r="I153">
        <v>6.9000000000000006E-2</v>
      </c>
      <c r="J153" t="b">
        <v>1</v>
      </c>
    </row>
    <row r="154" spans="1:10" x14ac:dyDescent="0.25">
      <c r="A154" t="s">
        <v>256</v>
      </c>
      <c r="B154">
        <v>2</v>
      </c>
      <c r="C154" t="s">
        <v>62</v>
      </c>
      <c r="D154">
        <v>700</v>
      </c>
      <c r="E154">
        <v>8</v>
      </c>
      <c r="F154">
        <v>2321</v>
      </c>
      <c r="G154">
        <v>4.5350000000000001</v>
      </c>
      <c r="H154">
        <v>2321</v>
      </c>
      <c r="I154">
        <v>6.9000000000000006E-2</v>
      </c>
      <c r="J154" t="b">
        <v>1</v>
      </c>
    </row>
    <row r="155" spans="1:10" x14ac:dyDescent="0.25">
      <c r="A155" t="s">
        <v>58</v>
      </c>
      <c r="B155">
        <v>1</v>
      </c>
      <c r="C155" t="s">
        <v>11</v>
      </c>
      <c r="D155">
        <v>500</v>
      </c>
      <c r="E155">
        <v>9</v>
      </c>
      <c r="F155">
        <v>2108</v>
      </c>
      <c r="G155">
        <v>2.1253000000000002</v>
      </c>
      <c r="H155">
        <v>2108</v>
      </c>
      <c r="I155">
        <v>6.8500000000000005E-2</v>
      </c>
      <c r="J155" t="b">
        <v>1</v>
      </c>
    </row>
    <row r="156" spans="1:10" x14ac:dyDescent="0.25">
      <c r="A156" t="s">
        <v>553</v>
      </c>
      <c r="B156">
        <v>4</v>
      </c>
      <c r="C156" t="s">
        <v>62</v>
      </c>
      <c r="D156">
        <v>1000</v>
      </c>
      <c r="E156">
        <v>8</v>
      </c>
      <c r="F156">
        <v>4577</v>
      </c>
      <c r="G156">
        <v>143.34049999999999</v>
      </c>
      <c r="H156">
        <v>4577</v>
      </c>
      <c r="I156">
        <v>6.7100000000000007E-2</v>
      </c>
      <c r="J156" t="b">
        <v>1</v>
      </c>
    </row>
    <row r="157" spans="1:10" x14ac:dyDescent="0.25">
      <c r="A157" t="s">
        <v>72</v>
      </c>
      <c r="B157">
        <v>1</v>
      </c>
      <c r="C157" t="s">
        <v>62</v>
      </c>
      <c r="D157">
        <v>1000</v>
      </c>
      <c r="E157">
        <v>2</v>
      </c>
      <c r="F157">
        <v>3525</v>
      </c>
      <c r="G157">
        <v>17.0596</v>
      </c>
      <c r="H157">
        <v>3525</v>
      </c>
      <c r="I157">
        <v>6.6699999999999995E-2</v>
      </c>
      <c r="J157" t="b">
        <v>1</v>
      </c>
    </row>
    <row r="158" spans="1:10" x14ac:dyDescent="0.25">
      <c r="A158" t="s">
        <v>266</v>
      </c>
      <c r="B158">
        <v>2</v>
      </c>
      <c r="C158" t="s">
        <v>113</v>
      </c>
      <c r="D158">
        <v>700</v>
      </c>
      <c r="E158">
        <v>10</v>
      </c>
      <c r="F158">
        <v>2380</v>
      </c>
      <c r="G158">
        <v>3.6507000000000001</v>
      </c>
      <c r="H158">
        <v>2380</v>
      </c>
      <c r="I158">
        <v>6.6600000000000006E-2</v>
      </c>
      <c r="J158" t="b">
        <v>1</v>
      </c>
    </row>
    <row r="159" spans="1:10" x14ac:dyDescent="0.25">
      <c r="A159" t="s">
        <v>78</v>
      </c>
      <c r="B159">
        <v>1</v>
      </c>
      <c r="C159" t="s">
        <v>62</v>
      </c>
      <c r="D159">
        <v>300</v>
      </c>
      <c r="E159">
        <v>3</v>
      </c>
      <c r="F159">
        <v>1308</v>
      </c>
      <c r="G159">
        <v>0.52380000000000004</v>
      </c>
      <c r="H159">
        <v>1308</v>
      </c>
      <c r="I159">
        <v>6.6500000000000004E-2</v>
      </c>
      <c r="J159" t="b">
        <v>1</v>
      </c>
    </row>
    <row r="160" spans="1:10" x14ac:dyDescent="0.25">
      <c r="A160" t="s">
        <v>365</v>
      </c>
      <c r="B160">
        <v>3</v>
      </c>
      <c r="C160" t="s">
        <v>62</v>
      </c>
      <c r="D160">
        <v>500</v>
      </c>
      <c r="E160">
        <v>10</v>
      </c>
      <c r="F160">
        <v>2175</v>
      </c>
      <c r="G160">
        <v>6.8010000000000002</v>
      </c>
      <c r="H160">
        <v>2175</v>
      </c>
      <c r="I160">
        <v>6.6299999999999998E-2</v>
      </c>
      <c r="J160" t="b">
        <v>1</v>
      </c>
    </row>
    <row r="161" spans="1:10" x14ac:dyDescent="0.25">
      <c r="A161" t="s">
        <v>126</v>
      </c>
      <c r="B161">
        <v>1</v>
      </c>
      <c r="C161" t="s">
        <v>113</v>
      </c>
      <c r="D161">
        <v>700</v>
      </c>
      <c r="E161">
        <v>2</v>
      </c>
      <c r="F161">
        <v>3135</v>
      </c>
      <c r="G161">
        <v>4.8968999999999996</v>
      </c>
      <c r="H161">
        <v>3135</v>
      </c>
      <c r="I161">
        <v>6.6100000000000006E-2</v>
      </c>
      <c r="J161" t="b">
        <v>1</v>
      </c>
    </row>
    <row r="162" spans="1:10" x14ac:dyDescent="0.25">
      <c r="A162" t="s">
        <v>152</v>
      </c>
      <c r="B162">
        <v>1</v>
      </c>
      <c r="C162" t="s">
        <v>113</v>
      </c>
      <c r="D162">
        <v>800</v>
      </c>
      <c r="E162">
        <v>7</v>
      </c>
      <c r="F162">
        <v>3757</v>
      </c>
      <c r="G162">
        <v>5.8583999999999996</v>
      </c>
      <c r="H162">
        <v>3757</v>
      </c>
      <c r="I162">
        <v>6.5500000000000003E-2</v>
      </c>
      <c r="J162" t="b">
        <v>1</v>
      </c>
    </row>
    <row r="163" spans="1:10" x14ac:dyDescent="0.25">
      <c r="A163" t="s">
        <v>401</v>
      </c>
      <c r="B163">
        <v>3</v>
      </c>
      <c r="C163" t="s">
        <v>62</v>
      </c>
      <c r="D163">
        <v>700</v>
      </c>
      <c r="E163">
        <v>7</v>
      </c>
      <c r="F163">
        <v>3267</v>
      </c>
      <c r="G163">
        <v>20.0289</v>
      </c>
      <c r="H163">
        <v>3267</v>
      </c>
      <c r="I163">
        <v>6.5299999999999997E-2</v>
      </c>
      <c r="J163" t="b">
        <v>1</v>
      </c>
    </row>
    <row r="164" spans="1:10" x14ac:dyDescent="0.25">
      <c r="A164" t="s">
        <v>81</v>
      </c>
      <c r="B164">
        <v>1</v>
      </c>
      <c r="C164" t="s">
        <v>62</v>
      </c>
      <c r="D164">
        <v>800</v>
      </c>
      <c r="E164">
        <v>3</v>
      </c>
      <c r="F164">
        <v>3280</v>
      </c>
      <c r="G164">
        <v>6.2163000000000004</v>
      </c>
      <c r="H164">
        <v>3280</v>
      </c>
      <c r="I164">
        <v>6.4699999999999994E-2</v>
      </c>
      <c r="J164" t="b">
        <v>1</v>
      </c>
    </row>
    <row r="165" spans="1:10" x14ac:dyDescent="0.25">
      <c r="A165" t="s">
        <v>308</v>
      </c>
      <c r="B165">
        <v>2</v>
      </c>
      <c r="C165" t="s">
        <v>113</v>
      </c>
      <c r="D165">
        <v>1000</v>
      </c>
      <c r="E165">
        <v>9</v>
      </c>
      <c r="F165">
        <v>2785</v>
      </c>
      <c r="G165">
        <v>8.0234000000000005</v>
      </c>
      <c r="H165">
        <v>2785</v>
      </c>
      <c r="I165">
        <v>6.4699999999999994E-2</v>
      </c>
      <c r="J165" t="b">
        <v>1</v>
      </c>
    </row>
    <row r="166" spans="1:10" x14ac:dyDescent="0.25">
      <c r="A166" t="s">
        <v>115</v>
      </c>
      <c r="B166">
        <v>1</v>
      </c>
      <c r="C166" t="s">
        <v>113</v>
      </c>
      <c r="D166">
        <v>500</v>
      </c>
      <c r="E166">
        <v>10</v>
      </c>
      <c r="F166">
        <v>2618</v>
      </c>
      <c r="G166">
        <v>1.9903999999999999</v>
      </c>
      <c r="H166">
        <v>2618</v>
      </c>
      <c r="I166">
        <v>6.4399999999999999E-2</v>
      </c>
      <c r="J166" t="b">
        <v>1</v>
      </c>
    </row>
    <row r="167" spans="1:10" x14ac:dyDescent="0.25">
      <c r="A167" t="s">
        <v>60</v>
      </c>
      <c r="B167">
        <v>1</v>
      </c>
      <c r="C167" t="s">
        <v>11</v>
      </c>
      <c r="D167">
        <v>800</v>
      </c>
      <c r="E167">
        <v>9</v>
      </c>
      <c r="F167">
        <v>3337</v>
      </c>
      <c r="G167">
        <v>6.0624000000000002</v>
      </c>
      <c r="H167">
        <v>3337</v>
      </c>
      <c r="I167">
        <v>6.4199999999999993E-2</v>
      </c>
      <c r="J167" t="b">
        <v>1</v>
      </c>
    </row>
    <row r="168" spans="1:10" x14ac:dyDescent="0.25">
      <c r="A168" t="s">
        <v>67</v>
      </c>
      <c r="B168">
        <v>1</v>
      </c>
      <c r="C168" t="s">
        <v>62</v>
      </c>
      <c r="D168">
        <v>1000</v>
      </c>
      <c r="E168">
        <v>1</v>
      </c>
      <c r="F168">
        <v>3590</v>
      </c>
      <c r="G168">
        <v>19.719200000000001</v>
      </c>
      <c r="H168">
        <v>3590</v>
      </c>
      <c r="I168">
        <v>6.4000000000000001E-2</v>
      </c>
      <c r="J168" t="b">
        <v>1</v>
      </c>
    </row>
    <row r="169" spans="1:10" x14ac:dyDescent="0.25">
      <c r="A169" t="s">
        <v>100</v>
      </c>
      <c r="B169">
        <v>1</v>
      </c>
      <c r="C169" t="s">
        <v>62</v>
      </c>
      <c r="D169">
        <v>700</v>
      </c>
      <c r="E169">
        <v>7</v>
      </c>
      <c r="F169">
        <v>3011</v>
      </c>
      <c r="G169">
        <v>4.4055999999999997</v>
      </c>
      <c r="H169">
        <v>3011</v>
      </c>
      <c r="I169">
        <v>6.4000000000000001E-2</v>
      </c>
      <c r="J169" t="b">
        <v>1</v>
      </c>
    </row>
    <row r="170" spans="1:10" x14ac:dyDescent="0.25">
      <c r="A170" t="s">
        <v>228</v>
      </c>
      <c r="B170">
        <v>2</v>
      </c>
      <c r="C170" t="s">
        <v>62</v>
      </c>
      <c r="D170">
        <v>1000</v>
      </c>
      <c r="E170">
        <v>3</v>
      </c>
      <c r="F170">
        <v>2780</v>
      </c>
      <c r="G170">
        <v>9.0925999999999991</v>
      </c>
      <c r="H170">
        <v>2780</v>
      </c>
      <c r="I170">
        <v>6.4000000000000001E-2</v>
      </c>
      <c r="J170" t="b">
        <v>1</v>
      </c>
    </row>
    <row r="171" spans="1:10" x14ac:dyDescent="0.25">
      <c r="A171" t="s">
        <v>172</v>
      </c>
      <c r="B171">
        <v>2</v>
      </c>
      <c r="C171" t="s">
        <v>11</v>
      </c>
      <c r="D171">
        <v>800</v>
      </c>
      <c r="E171">
        <v>1</v>
      </c>
      <c r="F171">
        <v>2049</v>
      </c>
      <c r="G171">
        <v>3.1427</v>
      </c>
      <c r="H171">
        <v>2049</v>
      </c>
      <c r="I171">
        <v>6.3E-2</v>
      </c>
      <c r="J171" t="b">
        <v>1</v>
      </c>
    </row>
    <row r="172" spans="1:10" x14ac:dyDescent="0.25">
      <c r="A172" t="s">
        <v>65</v>
      </c>
      <c r="B172">
        <v>1</v>
      </c>
      <c r="C172" t="s">
        <v>62</v>
      </c>
      <c r="D172">
        <v>700</v>
      </c>
      <c r="E172">
        <v>10</v>
      </c>
      <c r="F172">
        <v>2911</v>
      </c>
      <c r="G172">
        <v>5.2061000000000002</v>
      </c>
      <c r="H172">
        <v>2911</v>
      </c>
      <c r="I172">
        <v>6.2700000000000006E-2</v>
      </c>
      <c r="J172" t="b">
        <v>1</v>
      </c>
    </row>
    <row r="173" spans="1:10" x14ac:dyDescent="0.25">
      <c r="A173" t="s">
        <v>465</v>
      </c>
      <c r="B173">
        <v>4</v>
      </c>
      <c r="C173" t="s">
        <v>11</v>
      </c>
      <c r="D173">
        <v>500</v>
      </c>
      <c r="E173">
        <v>10</v>
      </c>
      <c r="F173">
        <v>2225</v>
      </c>
      <c r="G173">
        <v>6.0494000000000003</v>
      </c>
      <c r="H173">
        <v>2225</v>
      </c>
      <c r="I173">
        <v>6.2399999999999997E-2</v>
      </c>
      <c r="J173" t="b">
        <v>1</v>
      </c>
    </row>
    <row r="174" spans="1:10" x14ac:dyDescent="0.25">
      <c r="A174" t="s">
        <v>280</v>
      </c>
      <c r="B174">
        <v>2</v>
      </c>
      <c r="C174" t="s">
        <v>113</v>
      </c>
      <c r="D174">
        <v>500</v>
      </c>
      <c r="E174">
        <v>3</v>
      </c>
      <c r="F174">
        <v>1825</v>
      </c>
      <c r="G174">
        <v>2.266</v>
      </c>
      <c r="H174">
        <v>1825</v>
      </c>
      <c r="I174">
        <v>6.2199999999999998E-2</v>
      </c>
      <c r="J174" t="b">
        <v>1</v>
      </c>
    </row>
    <row r="175" spans="1:10" x14ac:dyDescent="0.25">
      <c r="A175" t="s">
        <v>378</v>
      </c>
      <c r="B175">
        <v>3</v>
      </c>
      <c r="C175" t="s">
        <v>62</v>
      </c>
      <c r="D175">
        <v>1000</v>
      </c>
      <c r="E175">
        <v>3</v>
      </c>
      <c r="F175">
        <v>4720</v>
      </c>
      <c r="G175">
        <v>155.00630000000001</v>
      </c>
      <c r="H175">
        <v>4720</v>
      </c>
      <c r="I175">
        <v>6.2E-2</v>
      </c>
      <c r="J175" t="b">
        <v>1</v>
      </c>
    </row>
    <row r="176" spans="1:10" x14ac:dyDescent="0.25">
      <c r="A176" t="s">
        <v>371</v>
      </c>
      <c r="B176">
        <v>3</v>
      </c>
      <c r="C176" t="s">
        <v>62</v>
      </c>
      <c r="D176">
        <v>700</v>
      </c>
      <c r="E176">
        <v>1</v>
      </c>
      <c r="F176">
        <v>3299</v>
      </c>
      <c r="G176">
        <v>22.216000000000001</v>
      </c>
      <c r="H176">
        <v>3299</v>
      </c>
      <c r="I176">
        <v>6.1400000000000003E-2</v>
      </c>
      <c r="J176" t="b">
        <v>1</v>
      </c>
    </row>
    <row r="177" spans="1:10" x14ac:dyDescent="0.25">
      <c r="A177" t="s">
        <v>212</v>
      </c>
      <c r="B177">
        <v>2</v>
      </c>
      <c r="C177" t="s">
        <v>11</v>
      </c>
      <c r="D177">
        <v>800</v>
      </c>
      <c r="E177">
        <v>9</v>
      </c>
      <c r="F177">
        <v>2127</v>
      </c>
      <c r="G177">
        <v>3.7389000000000001</v>
      </c>
      <c r="H177">
        <v>2127</v>
      </c>
      <c r="I177">
        <v>6.1199999999999997E-2</v>
      </c>
      <c r="J177" t="b">
        <v>1</v>
      </c>
    </row>
    <row r="178" spans="1:10" x14ac:dyDescent="0.25">
      <c r="A178" t="s">
        <v>293</v>
      </c>
      <c r="B178">
        <v>2</v>
      </c>
      <c r="C178" t="s">
        <v>113</v>
      </c>
      <c r="D178">
        <v>1000</v>
      </c>
      <c r="E178">
        <v>6</v>
      </c>
      <c r="F178">
        <v>2927</v>
      </c>
      <c r="G178">
        <v>7.8022999999999998</v>
      </c>
      <c r="H178">
        <v>2927</v>
      </c>
      <c r="I178">
        <v>6.1199999999999997E-2</v>
      </c>
      <c r="J178" t="b">
        <v>1</v>
      </c>
    </row>
    <row r="179" spans="1:10" x14ac:dyDescent="0.25">
      <c r="A179" t="s">
        <v>38</v>
      </c>
      <c r="B179">
        <v>1</v>
      </c>
      <c r="C179" t="s">
        <v>11</v>
      </c>
      <c r="D179">
        <v>500</v>
      </c>
      <c r="E179">
        <v>5</v>
      </c>
      <c r="F179">
        <v>2289</v>
      </c>
      <c r="G179">
        <v>2.2959000000000001</v>
      </c>
      <c r="H179">
        <v>2289</v>
      </c>
      <c r="I179">
        <v>6.1100000000000002E-2</v>
      </c>
      <c r="J179" t="b">
        <v>1</v>
      </c>
    </row>
    <row r="180" spans="1:10" x14ac:dyDescent="0.25">
      <c r="A180" t="s">
        <v>288</v>
      </c>
      <c r="B180">
        <v>2</v>
      </c>
      <c r="C180" t="s">
        <v>113</v>
      </c>
      <c r="D180">
        <v>1000</v>
      </c>
      <c r="E180">
        <v>5</v>
      </c>
      <c r="F180">
        <v>2887</v>
      </c>
      <c r="G180">
        <v>6.5971000000000002</v>
      </c>
      <c r="H180">
        <v>2887</v>
      </c>
      <c r="I180">
        <v>6.1100000000000002E-2</v>
      </c>
      <c r="J180" t="b">
        <v>1</v>
      </c>
    </row>
    <row r="181" spans="1:10" x14ac:dyDescent="0.25">
      <c r="A181" t="s">
        <v>211</v>
      </c>
      <c r="B181">
        <v>2</v>
      </c>
      <c r="C181" t="s">
        <v>11</v>
      </c>
      <c r="D181">
        <v>700</v>
      </c>
      <c r="E181">
        <v>9</v>
      </c>
      <c r="F181">
        <v>2072</v>
      </c>
      <c r="G181">
        <v>4.0473999999999997</v>
      </c>
      <c r="H181">
        <v>2072</v>
      </c>
      <c r="I181">
        <v>6.0999999999999999E-2</v>
      </c>
      <c r="J181" t="b">
        <v>1</v>
      </c>
    </row>
    <row r="182" spans="1:10" x14ac:dyDescent="0.25">
      <c r="A182" t="s">
        <v>410</v>
      </c>
      <c r="B182">
        <v>3</v>
      </c>
      <c r="C182" t="s">
        <v>62</v>
      </c>
      <c r="D182">
        <v>500</v>
      </c>
      <c r="E182">
        <v>9</v>
      </c>
      <c r="F182">
        <v>2130</v>
      </c>
      <c r="G182">
        <v>5.8071999999999999</v>
      </c>
      <c r="H182">
        <v>2130</v>
      </c>
      <c r="I182">
        <v>6.0999999999999999E-2</v>
      </c>
      <c r="J182" t="b">
        <v>1</v>
      </c>
    </row>
    <row r="183" spans="1:10" x14ac:dyDescent="0.25">
      <c r="A183" t="s">
        <v>257</v>
      </c>
      <c r="B183">
        <v>2</v>
      </c>
      <c r="C183" t="s">
        <v>62</v>
      </c>
      <c r="D183">
        <v>800</v>
      </c>
      <c r="E183">
        <v>8</v>
      </c>
      <c r="F183">
        <v>2494</v>
      </c>
      <c r="G183">
        <v>3.4434</v>
      </c>
      <c r="H183">
        <v>2494</v>
      </c>
      <c r="I183">
        <v>6.0900000000000003E-2</v>
      </c>
      <c r="J183" t="b">
        <v>1</v>
      </c>
    </row>
    <row r="184" spans="1:10" x14ac:dyDescent="0.25">
      <c r="A184" t="s">
        <v>258</v>
      </c>
      <c r="B184">
        <v>2</v>
      </c>
      <c r="C184" t="s">
        <v>62</v>
      </c>
      <c r="D184">
        <v>1000</v>
      </c>
      <c r="E184">
        <v>9</v>
      </c>
      <c r="F184">
        <v>2770</v>
      </c>
      <c r="G184">
        <v>6.9710000000000001</v>
      </c>
      <c r="H184">
        <v>2770</v>
      </c>
      <c r="I184">
        <v>6.08E-2</v>
      </c>
      <c r="J184" t="b">
        <v>1</v>
      </c>
    </row>
    <row r="185" spans="1:10" x14ac:dyDescent="0.25">
      <c r="A185" t="s">
        <v>263</v>
      </c>
      <c r="B185">
        <v>2</v>
      </c>
      <c r="C185" t="s">
        <v>113</v>
      </c>
      <c r="D185">
        <v>1000</v>
      </c>
      <c r="E185">
        <v>10</v>
      </c>
      <c r="F185">
        <v>3157</v>
      </c>
      <c r="G185">
        <v>7.6553000000000004</v>
      </c>
      <c r="H185">
        <v>3157</v>
      </c>
      <c r="I185">
        <v>6.08E-2</v>
      </c>
      <c r="J185" t="b">
        <v>1</v>
      </c>
    </row>
    <row r="186" spans="1:10" x14ac:dyDescent="0.25">
      <c r="A186" t="s">
        <v>104</v>
      </c>
      <c r="B186">
        <v>1</v>
      </c>
      <c r="C186" t="s">
        <v>62</v>
      </c>
      <c r="D186">
        <v>500</v>
      </c>
      <c r="E186">
        <v>8</v>
      </c>
      <c r="F186">
        <v>2120</v>
      </c>
      <c r="G186">
        <v>2.1791999999999998</v>
      </c>
      <c r="H186">
        <v>2120</v>
      </c>
      <c r="I186">
        <v>6.0400000000000002E-2</v>
      </c>
      <c r="J186" t="b">
        <v>1</v>
      </c>
    </row>
    <row r="187" spans="1:10" x14ac:dyDescent="0.25">
      <c r="A187" t="s">
        <v>222</v>
      </c>
      <c r="B187">
        <v>2</v>
      </c>
      <c r="C187" t="s">
        <v>62</v>
      </c>
      <c r="D187">
        <v>800</v>
      </c>
      <c r="E187">
        <v>1</v>
      </c>
      <c r="F187">
        <v>2421</v>
      </c>
      <c r="G187">
        <v>4.2022000000000004</v>
      </c>
      <c r="H187">
        <v>2421</v>
      </c>
      <c r="I187">
        <v>6.0400000000000002E-2</v>
      </c>
      <c r="J187" t="b">
        <v>1</v>
      </c>
    </row>
    <row r="188" spans="1:10" x14ac:dyDescent="0.25">
      <c r="A188" t="s">
        <v>59</v>
      </c>
      <c r="B188">
        <v>1</v>
      </c>
      <c r="C188" t="s">
        <v>11</v>
      </c>
      <c r="D188">
        <v>700</v>
      </c>
      <c r="E188">
        <v>9</v>
      </c>
      <c r="F188">
        <v>2928</v>
      </c>
      <c r="G188">
        <v>5.19</v>
      </c>
      <c r="H188">
        <v>2928</v>
      </c>
      <c r="I188">
        <v>5.9400000000000001E-2</v>
      </c>
      <c r="J188" t="b">
        <v>1</v>
      </c>
    </row>
    <row r="189" spans="1:10" x14ac:dyDescent="0.25">
      <c r="A189" t="s">
        <v>483</v>
      </c>
      <c r="B189">
        <v>4</v>
      </c>
      <c r="C189" t="s">
        <v>11</v>
      </c>
      <c r="D189">
        <v>1000</v>
      </c>
      <c r="E189">
        <v>4</v>
      </c>
      <c r="F189">
        <v>4620</v>
      </c>
      <c r="G189">
        <v>122.654</v>
      </c>
      <c r="H189">
        <v>4620</v>
      </c>
      <c r="I189">
        <v>5.9299999999999999E-2</v>
      </c>
      <c r="J189" t="b">
        <v>1</v>
      </c>
    </row>
    <row r="190" spans="1:10" x14ac:dyDescent="0.25">
      <c r="A190" t="s">
        <v>191</v>
      </c>
      <c r="B190">
        <v>2</v>
      </c>
      <c r="C190" t="s">
        <v>11</v>
      </c>
      <c r="D190">
        <v>700</v>
      </c>
      <c r="E190">
        <v>5</v>
      </c>
      <c r="F190">
        <v>1759</v>
      </c>
      <c r="G190">
        <v>3.7749000000000001</v>
      </c>
      <c r="H190">
        <v>1759</v>
      </c>
      <c r="I190">
        <v>5.9200000000000003E-2</v>
      </c>
      <c r="J190" t="b">
        <v>1</v>
      </c>
    </row>
    <row r="191" spans="1:10" x14ac:dyDescent="0.25">
      <c r="A191" t="s">
        <v>166</v>
      </c>
      <c r="B191">
        <v>2</v>
      </c>
      <c r="C191" t="s">
        <v>11</v>
      </c>
      <c r="D191">
        <v>700</v>
      </c>
      <c r="E191">
        <v>10</v>
      </c>
      <c r="F191">
        <v>1989</v>
      </c>
      <c r="G191">
        <v>4.7576999999999998</v>
      </c>
      <c r="H191">
        <v>1989</v>
      </c>
      <c r="I191">
        <v>5.8999999999999997E-2</v>
      </c>
      <c r="J191" t="b">
        <v>1</v>
      </c>
    </row>
    <row r="192" spans="1:10" x14ac:dyDescent="0.25">
      <c r="A192" t="s">
        <v>176</v>
      </c>
      <c r="B192">
        <v>2</v>
      </c>
      <c r="C192" t="s">
        <v>11</v>
      </c>
      <c r="D192">
        <v>700</v>
      </c>
      <c r="E192">
        <v>2</v>
      </c>
      <c r="F192">
        <v>2198</v>
      </c>
      <c r="G192">
        <v>4.1192000000000002</v>
      </c>
      <c r="H192">
        <v>2198</v>
      </c>
      <c r="I192">
        <v>5.8599999999999999E-2</v>
      </c>
      <c r="J192" t="b">
        <v>1</v>
      </c>
    </row>
    <row r="193" spans="1:10" x14ac:dyDescent="0.25">
      <c r="A193" t="s">
        <v>34</v>
      </c>
      <c r="B193">
        <v>1</v>
      </c>
      <c r="C193" t="s">
        <v>11</v>
      </c>
      <c r="D193">
        <v>700</v>
      </c>
      <c r="E193">
        <v>4</v>
      </c>
      <c r="F193">
        <v>2873</v>
      </c>
      <c r="G193">
        <v>5.7545000000000002</v>
      </c>
      <c r="H193">
        <v>2873</v>
      </c>
      <c r="I193">
        <v>5.8500000000000003E-2</v>
      </c>
      <c r="J193" t="b">
        <v>1</v>
      </c>
    </row>
    <row r="194" spans="1:10" x14ac:dyDescent="0.25">
      <c r="A194" t="s">
        <v>298</v>
      </c>
      <c r="B194">
        <v>2</v>
      </c>
      <c r="C194" t="s">
        <v>113</v>
      </c>
      <c r="D194">
        <v>1000</v>
      </c>
      <c r="E194">
        <v>7</v>
      </c>
      <c r="F194">
        <v>2843</v>
      </c>
      <c r="G194">
        <v>7.1635999999999997</v>
      </c>
      <c r="H194">
        <v>2843</v>
      </c>
      <c r="I194">
        <v>5.8299999999999998E-2</v>
      </c>
      <c r="J194" t="b">
        <v>1</v>
      </c>
    </row>
    <row r="195" spans="1:10" x14ac:dyDescent="0.25">
      <c r="A195" t="s">
        <v>277</v>
      </c>
      <c r="B195">
        <v>2</v>
      </c>
      <c r="C195" t="s">
        <v>113</v>
      </c>
      <c r="D195">
        <v>800</v>
      </c>
      <c r="E195">
        <v>2</v>
      </c>
      <c r="F195">
        <v>2509</v>
      </c>
      <c r="G195">
        <v>4.0477999999999996</v>
      </c>
      <c r="H195">
        <v>2509</v>
      </c>
      <c r="I195">
        <v>5.8099999999999999E-2</v>
      </c>
      <c r="J195" t="b">
        <v>1</v>
      </c>
    </row>
    <row r="196" spans="1:10" x14ac:dyDescent="0.25">
      <c r="A196" t="s">
        <v>221</v>
      </c>
      <c r="B196">
        <v>2</v>
      </c>
      <c r="C196" t="s">
        <v>62</v>
      </c>
      <c r="D196">
        <v>700</v>
      </c>
      <c r="E196">
        <v>1</v>
      </c>
      <c r="F196">
        <v>2325</v>
      </c>
      <c r="G196">
        <v>4.2690000000000001</v>
      </c>
      <c r="H196">
        <v>2325</v>
      </c>
      <c r="I196">
        <v>5.79E-2</v>
      </c>
      <c r="J196" t="b">
        <v>1</v>
      </c>
    </row>
    <row r="197" spans="1:10" x14ac:dyDescent="0.25">
      <c r="A197" t="s">
        <v>250</v>
      </c>
      <c r="B197">
        <v>2</v>
      </c>
      <c r="C197" t="s">
        <v>62</v>
      </c>
      <c r="D197">
        <v>500</v>
      </c>
      <c r="E197">
        <v>7</v>
      </c>
      <c r="F197">
        <v>1771</v>
      </c>
      <c r="G197">
        <v>2.1808000000000001</v>
      </c>
      <c r="H197">
        <v>1771</v>
      </c>
      <c r="I197">
        <v>5.7799999999999997E-2</v>
      </c>
      <c r="J197" t="b">
        <v>1</v>
      </c>
    </row>
    <row r="198" spans="1:10" x14ac:dyDescent="0.25">
      <c r="A198" t="s">
        <v>187</v>
      </c>
      <c r="B198">
        <v>2</v>
      </c>
      <c r="C198" t="s">
        <v>11</v>
      </c>
      <c r="D198">
        <v>800</v>
      </c>
      <c r="E198">
        <v>4</v>
      </c>
      <c r="F198">
        <v>2392</v>
      </c>
      <c r="G198">
        <v>4.1807999999999996</v>
      </c>
      <c r="H198">
        <v>2392</v>
      </c>
      <c r="I198">
        <v>5.7700000000000001E-2</v>
      </c>
      <c r="J198" t="b">
        <v>1</v>
      </c>
    </row>
    <row r="199" spans="1:10" x14ac:dyDescent="0.25">
      <c r="A199" t="s">
        <v>192</v>
      </c>
      <c r="B199">
        <v>2</v>
      </c>
      <c r="C199" t="s">
        <v>11</v>
      </c>
      <c r="D199">
        <v>800</v>
      </c>
      <c r="E199">
        <v>5</v>
      </c>
      <c r="F199">
        <v>2137</v>
      </c>
      <c r="G199">
        <v>3.5223</v>
      </c>
      <c r="H199">
        <v>2137</v>
      </c>
      <c r="I199">
        <v>5.7700000000000001E-2</v>
      </c>
      <c r="J199" t="b">
        <v>1</v>
      </c>
    </row>
    <row r="200" spans="1:10" x14ac:dyDescent="0.25">
      <c r="A200" t="s">
        <v>552</v>
      </c>
      <c r="B200">
        <v>4</v>
      </c>
      <c r="C200" t="s">
        <v>62</v>
      </c>
      <c r="D200">
        <v>800</v>
      </c>
      <c r="E200">
        <v>7</v>
      </c>
      <c r="F200">
        <v>3660</v>
      </c>
      <c r="G200">
        <v>70.244799999999998</v>
      </c>
      <c r="H200">
        <v>3660</v>
      </c>
      <c r="I200">
        <v>5.7500000000000002E-2</v>
      </c>
      <c r="J200" t="b">
        <v>1</v>
      </c>
    </row>
    <row r="201" spans="1:10" x14ac:dyDescent="0.25">
      <c r="A201" t="s">
        <v>75</v>
      </c>
      <c r="B201">
        <v>1</v>
      </c>
      <c r="C201" t="s">
        <v>62</v>
      </c>
      <c r="D201">
        <v>700</v>
      </c>
      <c r="E201">
        <v>2</v>
      </c>
      <c r="F201">
        <v>2859</v>
      </c>
      <c r="G201">
        <v>5.9646999999999997</v>
      </c>
      <c r="H201">
        <v>2859</v>
      </c>
      <c r="I201">
        <v>5.74E-2</v>
      </c>
      <c r="J201" t="b">
        <v>1</v>
      </c>
    </row>
    <row r="202" spans="1:10" x14ac:dyDescent="0.25">
      <c r="A202" t="s">
        <v>272</v>
      </c>
      <c r="B202">
        <v>2</v>
      </c>
      <c r="C202" t="s">
        <v>113</v>
      </c>
      <c r="D202">
        <v>800</v>
      </c>
      <c r="E202">
        <v>1</v>
      </c>
      <c r="F202">
        <v>2415</v>
      </c>
      <c r="G202">
        <v>3.6326999999999998</v>
      </c>
      <c r="H202">
        <v>2415</v>
      </c>
      <c r="I202">
        <v>5.74E-2</v>
      </c>
      <c r="J202" t="b">
        <v>1</v>
      </c>
    </row>
    <row r="203" spans="1:10" x14ac:dyDescent="0.25">
      <c r="A203" t="s">
        <v>95</v>
      </c>
      <c r="B203">
        <v>1</v>
      </c>
      <c r="C203" t="s">
        <v>62</v>
      </c>
      <c r="D203">
        <v>700</v>
      </c>
      <c r="E203">
        <v>6</v>
      </c>
      <c r="F203">
        <v>2832</v>
      </c>
      <c r="G203">
        <v>5.6543000000000001</v>
      </c>
      <c r="H203">
        <v>2832</v>
      </c>
      <c r="I203">
        <v>5.7099999999999998E-2</v>
      </c>
      <c r="J203" t="b">
        <v>1</v>
      </c>
    </row>
    <row r="204" spans="1:10" x14ac:dyDescent="0.25">
      <c r="A204" t="s">
        <v>155</v>
      </c>
      <c r="B204">
        <v>1</v>
      </c>
      <c r="C204" t="s">
        <v>113</v>
      </c>
      <c r="D204">
        <v>500</v>
      </c>
      <c r="E204">
        <v>8</v>
      </c>
      <c r="F204">
        <v>2539</v>
      </c>
      <c r="G204">
        <v>2.2079</v>
      </c>
      <c r="H204">
        <v>2539</v>
      </c>
      <c r="I204">
        <v>5.7099999999999998E-2</v>
      </c>
      <c r="J204" t="b">
        <v>1</v>
      </c>
    </row>
    <row r="205" spans="1:10" x14ac:dyDescent="0.25">
      <c r="A205" t="s">
        <v>327</v>
      </c>
      <c r="B205">
        <v>3</v>
      </c>
      <c r="C205" t="s">
        <v>11</v>
      </c>
      <c r="D205">
        <v>800</v>
      </c>
      <c r="E205">
        <v>2</v>
      </c>
      <c r="F205">
        <v>3630</v>
      </c>
      <c r="G205">
        <v>75.694500000000005</v>
      </c>
      <c r="H205">
        <v>3630</v>
      </c>
      <c r="I205">
        <v>5.7099999999999998E-2</v>
      </c>
      <c r="J205" t="b">
        <v>1</v>
      </c>
    </row>
    <row r="206" spans="1:10" x14ac:dyDescent="0.25">
      <c r="A206" t="s">
        <v>278</v>
      </c>
      <c r="B206">
        <v>2</v>
      </c>
      <c r="C206" t="s">
        <v>113</v>
      </c>
      <c r="D206">
        <v>1000</v>
      </c>
      <c r="E206">
        <v>3</v>
      </c>
      <c r="F206">
        <v>2934</v>
      </c>
      <c r="G206">
        <v>7.3865999999999996</v>
      </c>
      <c r="H206">
        <v>2934</v>
      </c>
      <c r="I206">
        <v>5.7000000000000002E-2</v>
      </c>
      <c r="J206" t="b">
        <v>1</v>
      </c>
    </row>
    <row r="207" spans="1:10" x14ac:dyDescent="0.25">
      <c r="A207" t="s">
        <v>292</v>
      </c>
      <c r="B207">
        <v>2</v>
      </c>
      <c r="C207" t="s">
        <v>113</v>
      </c>
      <c r="D207">
        <v>800</v>
      </c>
      <c r="E207">
        <v>5</v>
      </c>
      <c r="F207">
        <v>2523</v>
      </c>
      <c r="G207">
        <v>3.8641000000000001</v>
      </c>
      <c r="H207">
        <v>2523</v>
      </c>
      <c r="I207">
        <v>5.6800000000000003E-2</v>
      </c>
      <c r="J207" t="b">
        <v>1</v>
      </c>
    </row>
    <row r="208" spans="1:10" x14ac:dyDescent="0.25">
      <c r="A208" t="s">
        <v>469</v>
      </c>
      <c r="B208">
        <v>4</v>
      </c>
      <c r="C208" t="s">
        <v>11</v>
      </c>
      <c r="D208">
        <v>300</v>
      </c>
      <c r="E208">
        <v>1</v>
      </c>
      <c r="F208">
        <v>1285</v>
      </c>
      <c r="G208">
        <v>0.91090000000000004</v>
      </c>
      <c r="H208">
        <v>1285</v>
      </c>
      <c r="I208">
        <v>5.67E-2</v>
      </c>
      <c r="J208" t="b">
        <v>1</v>
      </c>
    </row>
    <row r="209" spans="1:10" x14ac:dyDescent="0.25">
      <c r="A209" t="s">
        <v>111</v>
      </c>
      <c r="B209">
        <v>1</v>
      </c>
      <c r="C209" t="s">
        <v>62</v>
      </c>
      <c r="D209">
        <v>800</v>
      </c>
      <c r="E209">
        <v>9</v>
      </c>
      <c r="F209">
        <v>3225</v>
      </c>
      <c r="G209">
        <v>6.1210000000000004</v>
      </c>
      <c r="H209">
        <v>3225</v>
      </c>
      <c r="I209">
        <v>5.6500000000000002E-2</v>
      </c>
      <c r="J209" t="b">
        <v>1</v>
      </c>
    </row>
    <row r="210" spans="1:10" x14ac:dyDescent="0.25">
      <c r="A210" t="s">
        <v>357</v>
      </c>
      <c r="B210">
        <v>3</v>
      </c>
      <c r="C210" t="s">
        <v>11</v>
      </c>
      <c r="D210">
        <v>800</v>
      </c>
      <c r="E210">
        <v>8</v>
      </c>
      <c r="F210">
        <v>3630</v>
      </c>
      <c r="G210">
        <v>73.766999999999996</v>
      </c>
      <c r="H210">
        <v>3630</v>
      </c>
      <c r="I210">
        <v>5.6300000000000003E-2</v>
      </c>
      <c r="J210" t="b">
        <v>1</v>
      </c>
    </row>
    <row r="211" spans="1:10" x14ac:dyDescent="0.25">
      <c r="A211" t="s">
        <v>170</v>
      </c>
      <c r="B211">
        <v>2</v>
      </c>
      <c r="C211" t="s">
        <v>11</v>
      </c>
      <c r="D211">
        <v>500</v>
      </c>
      <c r="E211">
        <v>1</v>
      </c>
      <c r="F211">
        <v>1648</v>
      </c>
      <c r="G211">
        <v>2.0911</v>
      </c>
      <c r="H211">
        <v>1648</v>
      </c>
      <c r="I211">
        <v>5.5899999999999998E-2</v>
      </c>
      <c r="J211" t="b">
        <v>1</v>
      </c>
    </row>
    <row r="212" spans="1:10" x14ac:dyDescent="0.25">
      <c r="A212" t="s">
        <v>262</v>
      </c>
      <c r="B212">
        <v>2</v>
      </c>
      <c r="C212" t="s">
        <v>62</v>
      </c>
      <c r="D212">
        <v>800</v>
      </c>
      <c r="E212">
        <v>9</v>
      </c>
      <c r="F212">
        <v>2349</v>
      </c>
      <c r="G212">
        <v>3.6379000000000001</v>
      </c>
      <c r="H212">
        <v>2349</v>
      </c>
      <c r="I212">
        <v>5.5899999999999998E-2</v>
      </c>
      <c r="J212" t="b">
        <v>1</v>
      </c>
    </row>
    <row r="213" spans="1:10" x14ac:dyDescent="0.25">
      <c r="A213" t="s">
        <v>242</v>
      </c>
      <c r="B213">
        <v>2</v>
      </c>
      <c r="C213" t="s">
        <v>62</v>
      </c>
      <c r="D213">
        <v>800</v>
      </c>
      <c r="E213">
        <v>5</v>
      </c>
      <c r="F213">
        <v>2290</v>
      </c>
      <c r="G213">
        <v>3.4607000000000001</v>
      </c>
      <c r="H213">
        <v>2290</v>
      </c>
      <c r="I213">
        <v>5.5800000000000002E-2</v>
      </c>
      <c r="J213" t="b">
        <v>1</v>
      </c>
    </row>
    <row r="214" spans="1:10" x14ac:dyDescent="0.25">
      <c r="A214" t="s">
        <v>89</v>
      </c>
      <c r="B214">
        <v>1</v>
      </c>
      <c r="C214" t="s">
        <v>62</v>
      </c>
      <c r="D214">
        <v>500</v>
      </c>
      <c r="E214">
        <v>5</v>
      </c>
      <c r="F214">
        <v>2211</v>
      </c>
      <c r="G214">
        <v>2.2067000000000001</v>
      </c>
      <c r="H214">
        <v>2211</v>
      </c>
      <c r="I214">
        <v>5.5E-2</v>
      </c>
      <c r="J214" t="b">
        <v>1</v>
      </c>
    </row>
    <row r="215" spans="1:10" x14ac:dyDescent="0.25">
      <c r="A215" t="s">
        <v>306</v>
      </c>
      <c r="B215">
        <v>2</v>
      </c>
      <c r="C215" t="s">
        <v>113</v>
      </c>
      <c r="D215">
        <v>700</v>
      </c>
      <c r="E215">
        <v>8</v>
      </c>
      <c r="F215">
        <v>2483</v>
      </c>
      <c r="G215">
        <v>4.1628999999999996</v>
      </c>
      <c r="H215">
        <v>2483</v>
      </c>
      <c r="I215">
        <v>5.5E-2</v>
      </c>
      <c r="J215" t="b">
        <v>1</v>
      </c>
    </row>
    <row r="216" spans="1:10" x14ac:dyDescent="0.25">
      <c r="A216" t="s">
        <v>215</v>
      </c>
      <c r="B216">
        <v>2</v>
      </c>
      <c r="C216" t="s">
        <v>62</v>
      </c>
      <c r="D216">
        <v>500</v>
      </c>
      <c r="E216">
        <v>10</v>
      </c>
      <c r="F216">
        <v>1535</v>
      </c>
      <c r="G216">
        <v>2.339</v>
      </c>
      <c r="H216">
        <v>1535</v>
      </c>
      <c r="I216">
        <v>5.4699999999999999E-2</v>
      </c>
      <c r="J216" t="b">
        <v>1</v>
      </c>
    </row>
    <row r="217" spans="1:10" x14ac:dyDescent="0.25">
      <c r="A217" t="s">
        <v>102</v>
      </c>
      <c r="B217">
        <v>1</v>
      </c>
      <c r="C217" t="s">
        <v>62</v>
      </c>
      <c r="D217">
        <v>1000</v>
      </c>
      <c r="E217">
        <v>8</v>
      </c>
      <c r="F217">
        <v>3709</v>
      </c>
      <c r="G217">
        <v>17.476400000000002</v>
      </c>
      <c r="H217">
        <v>3709</v>
      </c>
      <c r="I217">
        <v>5.45E-2</v>
      </c>
      <c r="J217" t="b">
        <v>1</v>
      </c>
    </row>
    <row r="218" spans="1:10" x14ac:dyDescent="0.25">
      <c r="A218" t="s">
        <v>40</v>
      </c>
      <c r="B218">
        <v>1</v>
      </c>
      <c r="C218" t="s">
        <v>11</v>
      </c>
      <c r="D218">
        <v>800</v>
      </c>
      <c r="E218">
        <v>5</v>
      </c>
      <c r="F218">
        <v>3065</v>
      </c>
      <c r="G218">
        <v>6.4744999999999999</v>
      </c>
      <c r="H218">
        <v>3065</v>
      </c>
      <c r="I218">
        <v>5.4399999999999997E-2</v>
      </c>
      <c r="J218" t="b">
        <v>1</v>
      </c>
    </row>
    <row r="219" spans="1:10" x14ac:dyDescent="0.25">
      <c r="A219" t="s">
        <v>241</v>
      </c>
      <c r="B219">
        <v>2</v>
      </c>
      <c r="C219" t="s">
        <v>62</v>
      </c>
      <c r="D219">
        <v>700</v>
      </c>
      <c r="E219">
        <v>5</v>
      </c>
      <c r="F219">
        <v>2337</v>
      </c>
      <c r="G219">
        <v>3.5011999999999999</v>
      </c>
      <c r="H219">
        <v>2337</v>
      </c>
      <c r="I219">
        <v>5.4300000000000001E-2</v>
      </c>
      <c r="J219" t="b">
        <v>1</v>
      </c>
    </row>
    <row r="220" spans="1:10" x14ac:dyDescent="0.25">
      <c r="A220" t="s">
        <v>296</v>
      </c>
      <c r="B220">
        <v>2</v>
      </c>
      <c r="C220" t="s">
        <v>113</v>
      </c>
      <c r="D220">
        <v>700</v>
      </c>
      <c r="E220">
        <v>6</v>
      </c>
      <c r="F220">
        <v>2319</v>
      </c>
      <c r="G220">
        <v>4.0816999999999997</v>
      </c>
      <c r="H220">
        <v>2319</v>
      </c>
      <c r="I220">
        <v>5.4300000000000001E-2</v>
      </c>
      <c r="J220" t="b">
        <v>1</v>
      </c>
    </row>
    <row r="221" spans="1:10" x14ac:dyDescent="0.25">
      <c r="A221" t="s">
        <v>74</v>
      </c>
      <c r="B221">
        <v>1</v>
      </c>
      <c r="C221" t="s">
        <v>62</v>
      </c>
      <c r="D221">
        <v>500</v>
      </c>
      <c r="E221">
        <v>2</v>
      </c>
      <c r="F221">
        <v>2269</v>
      </c>
      <c r="G221">
        <v>1.9715</v>
      </c>
      <c r="H221">
        <v>2269</v>
      </c>
      <c r="I221">
        <v>5.3999999999999999E-2</v>
      </c>
      <c r="J221" t="b">
        <v>1</v>
      </c>
    </row>
    <row r="222" spans="1:10" x14ac:dyDescent="0.25">
      <c r="A222" t="s">
        <v>196</v>
      </c>
      <c r="B222">
        <v>2</v>
      </c>
      <c r="C222" t="s">
        <v>11</v>
      </c>
      <c r="D222">
        <v>700</v>
      </c>
      <c r="E222">
        <v>6</v>
      </c>
      <c r="F222">
        <v>2166</v>
      </c>
      <c r="G222">
        <v>4.1832000000000003</v>
      </c>
      <c r="H222">
        <v>2166</v>
      </c>
      <c r="I222">
        <v>5.3999999999999999E-2</v>
      </c>
      <c r="J222" t="b">
        <v>1</v>
      </c>
    </row>
    <row r="223" spans="1:10" x14ac:dyDescent="0.25">
      <c r="A223" t="s">
        <v>396</v>
      </c>
      <c r="B223">
        <v>3</v>
      </c>
      <c r="C223" t="s">
        <v>62</v>
      </c>
      <c r="D223">
        <v>700</v>
      </c>
      <c r="E223">
        <v>6</v>
      </c>
      <c r="F223">
        <v>3165</v>
      </c>
      <c r="G223">
        <v>22.8581</v>
      </c>
      <c r="H223">
        <v>3165</v>
      </c>
      <c r="I223">
        <v>5.3999999999999999E-2</v>
      </c>
      <c r="J223" t="b">
        <v>1</v>
      </c>
    </row>
    <row r="224" spans="1:10" x14ac:dyDescent="0.25">
      <c r="A224" t="s">
        <v>503</v>
      </c>
      <c r="B224">
        <v>4</v>
      </c>
      <c r="C224" t="s">
        <v>11</v>
      </c>
      <c r="D224">
        <v>1000</v>
      </c>
      <c r="E224">
        <v>8</v>
      </c>
      <c r="F224">
        <v>4555</v>
      </c>
      <c r="G224">
        <v>130.55459999999999</v>
      </c>
      <c r="H224">
        <v>4555</v>
      </c>
      <c r="I224">
        <v>5.3999999999999999E-2</v>
      </c>
      <c r="J224" t="b">
        <v>1</v>
      </c>
    </row>
    <row r="225" spans="1:10" x14ac:dyDescent="0.25">
      <c r="A225" t="s">
        <v>84</v>
      </c>
      <c r="B225">
        <v>1</v>
      </c>
      <c r="C225" t="s">
        <v>62</v>
      </c>
      <c r="D225">
        <v>500</v>
      </c>
      <c r="E225">
        <v>4</v>
      </c>
      <c r="F225">
        <v>2145</v>
      </c>
      <c r="G225">
        <v>2.0644</v>
      </c>
      <c r="H225">
        <v>2145</v>
      </c>
      <c r="I225">
        <v>5.3499999999999999E-2</v>
      </c>
      <c r="J225" t="b">
        <v>1</v>
      </c>
    </row>
    <row r="226" spans="1:10" x14ac:dyDescent="0.25">
      <c r="A226" t="s">
        <v>305</v>
      </c>
      <c r="B226">
        <v>2</v>
      </c>
      <c r="C226" t="s">
        <v>113</v>
      </c>
      <c r="D226">
        <v>500</v>
      </c>
      <c r="E226">
        <v>8</v>
      </c>
      <c r="F226">
        <v>1987</v>
      </c>
      <c r="G226">
        <v>2.4178999999999999</v>
      </c>
      <c r="H226">
        <v>1987</v>
      </c>
      <c r="I226">
        <v>5.3199999999999997E-2</v>
      </c>
      <c r="J226" t="b">
        <v>1</v>
      </c>
    </row>
    <row r="227" spans="1:10" x14ac:dyDescent="0.25">
      <c r="A227" t="s">
        <v>201</v>
      </c>
      <c r="B227">
        <v>2</v>
      </c>
      <c r="C227" t="s">
        <v>11</v>
      </c>
      <c r="D227">
        <v>700</v>
      </c>
      <c r="E227">
        <v>7</v>
      </c>
      <c r="F227">
        <v>2134</v>
      </c>
      <c r="G227">
        <v>3.7252000000000001</v>
      </c>
      <c r="H227">
        <v>2134</v>
      </c>
      <c r="I227">
        <v>5.2699999999999997E-2</v>
      </c>
      <c r="J227" t="b">
        <v>1</v>
      </c>
    </row>
    <row r="228" spans="1:10" x14ac:dyDescent="0.25">
      <c r="A228" t="s">
        <v>193</v>
      </c>
      <c r="B228">
        <v>2</v>
      </c>
      <c r="C228" t="s">
        <v>11</v>
      </c>
      <c r="D228">
        <v>1000</v>
      </c>
      <c r="E228">
        <v>6</v>
      </c>
      <c r="F228">
        <v>2126</v>
      </c>
      <c r="G228">
        <v>7.0366999999999997</v>
      </c>
      <c r="H228">
        <v>2126</v>
      </c>
      <c r="I228">
        <v>5.2600000000000001E-2</v>
      </c>
      <c r="J228" t="b">
        <v>1</v>
      </c>
    </row>
    <row r="229" spans="1:10" x14ac:dyDescent="0.25">
      <c r="A229" t="s">
        <v>220</v>
      </c>
      <c r="B229">
        <v>2</v>
      </c>
      <c r="C229" t="s">
        <v>62</v>
      </c>
      <c r="D229">
        <v>500</v>
      </c>
      <c r="E229">
        <v>1</v>
      </c>
      <c r="F229">
        <v>1733</v>
      </c>
      <c r="G229">
        <v>2.4070999999999998</v>
      </c>
      <c r="H229">
        <v>1733</v>
      </c>
      <c r="I229">
        <v>5.2400000000000002E-2</v>
      </c>
      <c r="J229" t="b">
        <v>1</v>
      </c>
    </row>
    <row r="230" spans="1:10" x14ac:dyDescent="0.25">
      <c r="A230" t="s">
        <v>398</v>
      </c>
      <c r="B230">
        <v>3</v>
      </c>
      <c r="C230" t="s">
        <v>62</v>
      </c>
      <c r="D230">
        <v>1000</v>
      </c>
      <c r="E230">
        <v>7</v>
      </c>
      <c r="F230">
        <v>4550</v>
      </c>
      <c r="G230">
        <v>140.69280000000001</v>
      </c>
      <c r="H230">
        <v>4550</v>
      </c>
      <c r="I230">
        <v>5.2200000000000003E-2</v>
      </c>
      <c r="J230" t="b">
        <v>1</v>
      </c>
    </row>
    <row r="231" spans="1:10" x14ac:dyDescent="0.25">
      <c r="A231" t="s">
        <v>186</v>
      </c>
      <c r="B231">
        <v>2</v>
      </c>
      <c r="C231" t="s">
        <v>11</v>
      </c>
      <c r="D231">
        <v>700</v>
      </c>
      <c r="E231">
        <v>4</v>
      </c>
      <c r="F231">
        <v>1916</v>
      </c>
      <c r="G231">
        <v>4.03</v>
      </c>
      <c r="H231">
        <v>1916</v>
      </c>
      <c r="I231">
        <v>5.1999999999999998E-2</v>
      </c>
      <c r="J231" t="b">
        <v>1</v>
      </c>
    </row>
    <row r="232" spans="1:10" x14ac:dyDescent="0.25">
      <c r="A232" t="s">
        <v>203</v>
      </c>
      <c r="B232">
        <v>2</v>
      </c>
      <c r="C232" t="s">
        <v>11</v>
      </c>
      <c r="D232">
        <v>1000</v>
      </c>
      <c r="E232">
        <v>8</v>
      </c>
      <c r="F232">
        <v>2316</v>
      </c>
      <c r="G232">
        <v>7.9626000000000001</v>
      </c>
      <c r="H232">
        <v>2316</v>
      </c>
      <c r="I232">
        <v>5.1799999999999999E-2</v>
      </c>
      <c r="J232" t="b">
        <v>1</v>
      </c>
    </row>
    <row r="233" spans="1:10" x14ac:dyDescent="0.25">
      <c r="A233" t="s">
        <v>388</v>
      </c>
      <c r="B233">
        <v>3</v>
      </c>
      <c r="C233" t="s">
        <v>62</v>
      </c>
      <c r="D233">
        <v>1000</v>
      </c>
      <c r="E233">
        <v>5</v>
      </c>
      <c r="F233">
        <v>4596</v>
      </c>
      <c r="G233">
        <v>143.06909999999999</v>
      </c>
      <c r="H233">
        <v>4596</v>
      </c>
      <c r="I233">
        <v>5.1499999999999997E-2</v>
      </c>
      <c r="J233" t="b">
        <v>1</v>
      </c>
    </row>
    <row r="234" spans="1:10" x14ac:dyDescent="0.25">
      <c r="A234" t="s">
        <v>235</v>
      </c>
      <c r="B234">
        <v>2</v>
      </c>
      <c r="C234" t="s">
        <v>62</v>
      </c>
      <c r="D234">
        <v>500</v>
      </c>
      <c r="E234">
        <v>4</v>
      </c>
      <c r="F234">
        <v>1770</v>
      </c>
      <c r="G234">
        <v>2.3071000000000002</v>
      </c>
      <c r="H234">
        <v>1770</v>
      </c>
      <c r="I234">
        <v>5.1299999999999998E-2</v>
      </c>
      <c r="J234" t="b">
        <v>1</v>
      </c>
    </row>
    <row r="235" spans="1:10" x14ac:dyDescent="0.25">
      <c r="A235" t="s">
        <v>386</v>
      </c>
      <c r="B235">
        <v>3</v>
      </c>
      <c r="C235" t="s">
        <v>62</v>
      </c>
      <c r="D235">
        <v>700</v>
      </c>
      <c r="E235">
        <v>4</v>
      </c>
      <c r="F235">
        <v>3235</v>
      </c>
      <c r="G235">
        <v>24.2242</v>
      </c>
      <c r="H235">
        <v>3235</v>
      </c>
      <c r="I235">
        <v>5.1299999999999998E-2</v>
      </c>
      <c r="J235" t="b">
        <v>1</v>
      </c>
    </row>
    <row r="236" spans="1:10" x14ac:dyDescent="0.25">
      <c r="A236" t="s">
        <v>328</v>
      </c>
      <c r="B236">
        <v>3</v>
      </c>
      <c r="C236" t="s">
        <v>11</v>
      </c>
      <c r="D236">
        <v>1000</v>
      </c>
      <c r="E236">
        <v>3</v>
      </c>
      <c r="F236">
        <v>4630</v>
      </c>
      <c r="G236">
        <v>170.13929999999999</v>
      </c>
      <c r="H236">
        <v>4630</v>
      </c>
      <c r="I236">
        <v>5.0999999999999997E-2</v>
      </c>
      <c r="J236" t="b">
        <v>1</v>
      </c>
    </row>
    <row r="237" spans="1:10" x14ac:dyDescent="0.25">
      <c r="A237" t="s">
        <v>362</v>
      </c>
      <c r="B237">
        <v>3</v>
      </c>
      <c r="C237" t="s">
        <v>11</v>
      </c>
      <c r="D237">
        <v>800</v>
      </c>
      <c r="E237">
        <v>9</v>
      </c>
      <c r="F237">
        <v>3640</v>
      </c>
      <c r="G237">
        <v>72.888400000000004</v>
      </c>
      <c r="H237">
        <v>3640</v>
      </c>
      <c r="I237">
        <v>5.0999999999999997E-2</v>
      </c>
      <c r="J237" t="b">
        <v>1</v>
      </c>
    </row>
    <row r="238" spans="1:10" x14ac:dyDescent="0.25">
      <c r="A238" t="s">
        <v>393</v>
      </c>
      <c r="B238">
        <v>3</v>
      </c>
      <c r="C238" t="s">
        <v>62</v>
      </c>
      <c r="D238">
        <v>1000</v>
      </c>
      <c r="E238">
        <v>6</v>
      </c>
      <c r="F238">
        <v>4530</v>
      </c>
      <c r="G238">
        <v>145.61949999999999</v>
      </c>
      <c r="H238">
        <v>4530</v>
      </c>
      <c r="I238">
        <v>5.0999999999999997E-2</v>
      </c>
      <c r="J238" t="b">
        <v>1</v>
      </c>
    </row>
    <row r="239" spans="1:10" x14ac:dyDescent="0.25">
      <c r="A239" t="s">
        <v>301</v>
      </c>
      <c r="B239">
        <v>2</v>
      </c>
      <c r="C239" t="s">
        <v>113</v>
      </c>
      <c r="D239">
        <v>700</v>
      </c>
      <c r="E239">
        <v>7</v>
      </c>
      <c r="F239">
        <v>2493</v>
      </c>
      <c r="G239">
        <v>3.7953999999999999</v>
      </c>
      <c r="H239">
        <v>2493</v>
      </c>
      <c r="I239">
        <v>5.04E-2</v>
      </c>
      <c r="J239" t="b">
        <v>1</v>
      </c>
    </row>
    <row r="240" spans="1:10" x14ac:dyDescent="0.25">
      <c r="A240" t="s">
        <v>341</v>
      </c>
      <c r="B240">
        <v>3</v>
      </c>
      <c r="C240" t="s">
        <v>11</v>
      </c>
      <c r="D240">
        <v>700</v>
      </c>
      <c r="E240">
        <v>5</v>
      </c>
      <c r="F240">
        <v>3145</v>
      </c>
      <c r="G240">
        <v>26.183299999999999</v>
      </c>
      <c r="H240">
        <v>3145</v>
      </c>
      <c r="I240">
        <v>5.0299999999999997E-2</v>
      </c>
      <c r="J240" t="b">
        <v>1</v>
      </c>
    </row>
    <row r="241" spans="1:10" x14ac:dyDescent="0.25">
      <c r="A241" t="s">
        <v>216</v>
      </c>
      <c r="B241">
        <v>2</v>
      </c>
      <c r="C241" t="s">
        <v>62</v>
      </c>
      <c r="D241">
        <v>700</v>
      </c>
      <c r="E241">
        <v>10</v>
      </c>
      <c r="F241">
        <v>2218</v>
      </c>
      <c r="G241">
        <v>4.6204000000000001</v>
      </c>
      <c r="H241">
        <v>2218</v>
      </c>
      <c r="I241">
        <v>4.99E-2</v>
      </c>
      <c r="J241" t="b">
        <v>1</v>
      </c>
    </row>
    <row r="242" spans="1:10" x14ac:dyDescent="0.25">
      <c r="A242" t="s">
        <v>588</v>
      </c>
      <c r="B242">
        <v>4</v>
      </c>
      <c r="C242" t="s">
        <v>113</v>
      </c>
      <c r="D242">
        <v>1000</v>
      </c>
      <c r="E242">
        <v>5</v>
      </c>
      <c r="F242">
        <v>5071</v>
      </c>
      <c r="G242">
        <v>137.85390000000001</v>
      </c>
      <c r="H242">
        <v>5071</v>
      </c>
      <c r="I242">
        <v>4.9799999999999997E-2</v>
      </c>
      <c r="J242" t="b">
        <v>1</v>
      </c>
    </row>
    <row r="243" spans="1:10" x14ac:dyDescent="0.25">
      <c r="A243" t="s">
        <v>342</v>
      </c>
      <c r="B243">
        <v>3</v>
      </c>
      <c r="C243" t="s">
        <v>11</v>
      </c>
      <c r="D243">
        <v>800</v>
      </c>
      <c r="E243">
        <v>5</v>
      </c>
      <c r="F243">
        <v>3490</v>
      </c>
      <c r="G243">
        <v>77.259200000000007</v>
      </c>
      <c r="H243">
        <v>3490</v>
      </c>
      <c r="I243">
        <v>4.9700000000000001E-2</v>
      </c>
      <c r="J243" t="b">
        <v>1</v>
      </c>
    </row>
    <row r="244" spans="1:10" x14ac:dyDescent="0.25">
      <c r="A244" t="s">
        <v>210</v>
      </c>
      <c r="B244">
        <v>2</v>
      </c>
      <c r="C244" t="s">
        <v>11</v>
      </c>
      <c r="D244">
        <v>500</v>
      </c>
      <c r="E244">
        <v>9</v>
      </c>
      <c r="F244">
        <v>1641</v>
      </c>
      <c r="G244">
        <v>2.2452000000000001</v>
      </c>
      <c r="H244">
        <v>1641</v>
      </c>
      <c r="I244">
        <v>4.9599999999999998E-2</v>
      </c>
      <c r="J244" t="b">
        <v>1</v>
      </c>
    </row>
    <row r="245" spans="1:10" x14ac:dyDescent="0.25">
      <c r="A245" t="s">
        <v>204</v>
      </c>
      <c r="B245">
        <v>2</v>
      </c>
      <c r="C245" t="s">
        <v>11</v>
      </c>
      <c r="D245">
        <v>300</v>
      </c>
      <c r="E245">
        <v>8</v>
      </c>
      <c r="F245">
        <v>1259</v>
      </c>
      <c r="G245">
        <v>1.0365</v>
      </c>
      <c r="H245">
        <v>1259</v>
      </c>
      <c r="I245">
        <v>4.9399999999999999E-2</v>
      </c>
      <c r="J245" t="b">
        <v>1</v>
      </c>
    </row>
    <row r="246" spans="1:10" x14ac:dyDescent="0.25">
      <c r="A246" t="s">
        <v>109</v>
      </c>
      <c r="B246">
        <v>1</v>
      </c>
      <c r="C246" t="s">
        <v>62</v>
      </c>
      <c r="D246">
        <v>500</v>
      </c>
      <c r="E246">
        <v>9</v>
      </c>
      <c r="F246">
        <v>2071</v>
      </c>
      <c r="G246">
        <v>2.1379000000000001</v>
      </c>
      <c r="H246">
        <v>2071</v>
      </c>
      <c r="I246">
        <v>4.9000000000000002E-2</v>
      </c>
      <c r="J246" t="b">
        <v>1</v>
      </c>
    </row>
    <row r="247" spans="1:10" x14ac:dyDescent="0.25">
      <c r="A247" t="s">
        <v>303</v>
      </c>
      <c r="B247">
        <v>2</v>
      </c>
      <c r="C247" t="s">
        <v>113</v>
      </c>
      <c r="D247">
        <v>1000</v>
      </c>
      <c r="E247">
        <v>8</v>
      </c>
      <c r="F247">
        <v>2761</v>
      </c>
      <c r="G247">
        <v>5.8327999999999998</v>
      </c>
      <c r="H247">
        <v>2761</v>
      </c>
      <c r="I247">
        <v>4.8500000000000001E-2</v>
      </c>
      <c r="J247" t="b">
        <v>1</v>
      </c>
    </row>
    <row r="248" spans="1:10" x14ac:dyDescent="0.25">
      <c r="A248" t="s">
        <v>372</v>
      </c>
      <c r="B248">
        <v>3</v>
      </c>
      <c r="C248" t="s">
        <v>62</v>
      </c>
      <c r="D248">
        <v>800</v>
      </c>
      <c r="E248">
        <v>1</v>
      </c>
      <c r="F248">
        <v>3667</v>
      </c>
      <c r="G248">
        <v>78.463499999999996</v>
      </c>
      <c r="H248">
        <v>3667</v>
      </c>
      <c r="I248">
        <v>4.82E-2</v>
      </c>
      <c r="J248" t="b">
        <v>1</v>
      </c>
    </row>
    <row r="249" spans="1:10" x14ac:dyDescent="0.25">
      <c r="A249" t="s">
        <v>197</v>
      </c>
      <c r="B249">
        <v>2</v>
      </c>
      <c r="C249" t="s">
        <v>11</v>
      </c>
      <c r="D249">
        <v>800</v>
      </c>
      <c r="E249">
        <v>6</v>
      </c>
      <c r="F249">
        <v>2031</v>
      </c>
      <c r="G249">
        <v>4.2712000000000003</v>
      </c>
      <c r="H249">
        <v>2031</v>
      </c>
      <c r="I249">
        <v>4.8099999999999997E-2</v>
      </c>
      <c r="J249" t="b">
        <v>1</v>
      </c>
    </row>
    <row r="250" spans="1:10" x14ac:dyDescent="0.25">
      <c r="A250" t="s">
        <v>403</v>
      </c>
      <c r="B250">
        <v>3</v>
      </c>
      <c r="C250" t="s">
        <v>62</v>
      </c>
      <c r="D250">
        <v>1000</v>
      </c>
      <c r="E250">
        <v>8</v>
      </c>
      <c r="F250">
        <v>4554</v>
      </c>
      <c r="G250">
        <v>148.31299999999999</v>
      </c>
      <c r="H250">
        <v>4554</v>
      </c>
      <c r="I250">
        <v>4.8000000000000001E-2</v>
      </c>
      <c r="J250" t="b">
        <v>1</v>
      </c>
    </row>
    <row r="251" spans="1:10" x14ac:dyDescent="0.25">
      <c r="A251" t="s">
        <v>253</v>
      </c>
      <c r="B251">
        <v>2</v>
      </c>
      <c r="C251" t="s">
        <v>62</v>
      </c>
      <c r="D251">
        <v>1000</v>
      </c>
      <c r="E251">
        <v>8</v>
      </c>
      <c r="F251">
        <v>2658</v>
      </c>
      <c r="G251">
        <v>6.5349000000000004</v>
      </c>
      <c r="H251">
        <v>2658</v>
      </c>
      <c r="I251">
        <v>4.7399999999999998E-2</v>
      </c>
      <c r="J251" t="b">
        <v>1</v>
      </c>
    </row>
    <row r="252" spans="1:10" x14ac:dyDescent="0.25">
      <c r="A252" t="s">
        <v>267</v>
      </c>
      <c r="B252">
        <v>2</v>
      </c>
      <c r="C252" t="s">
        <v>113</v>
      </c>
      <c r="D252">
        <v>800</v>
      </c>
      <c r="E252">
        <v>10</v>
      </c>
      <c r="F252">
        <v>2468</v>
      </c>
      <c r="G252">
        <v>4.1003999999999996</v>
      </c>
      <c r="H252">
        <v>2468</v>
      </c>
      <c r="I252">
        <v>4.7199999999999999E-2</v>
      </c>
      <c r="J252" t="b">
        <v>1</v>
      </c>
    </row>
    <row r="253" spans="1:10" x14ac:dyDescent="0.25">
      <c r="A253" t="s">
        <v>43</v>
      </c>
      <c r="B253">
        <v>1</v>
      </c>
      <c r="C253" t="s">
        <v>11</v>
      </c>
      <c r="D253">
        <v>500</v>
      </c>
      <c r="E253">
        <v>6</v>
      </c>
      <c r="F253">
        <v>2090</v>
      </c>
      <c r="G253">
        <v>1.8048999999999999</v>
      </c>
      <c r="H253">
        <v>2090</v>
      </c>
      <c r="I253">
        <v>4.7E-2</v>
      </c>
      <c r="J253" t="b">
        <v>1</v>
      </c>
    </row>
    <row r="254" spans="1:10" x14ac:dyDescent="0.25">
      <c r="A254" t="s">
        <v>145</v>
      </c>
      <c r="B254">
        <v>1</v>
      </c>
      <c r="C254" t="s">
        <v>113</v>
      </c>
      <c r="D254">
        <v>500</v>
      </c>
      <c r="E254">
        <v>6</v>
      </c>
      <c r="F254">
        <v>2381</v>
      </c>
      <c r="G254">
        <v>1.9473</v>
      </c>
      <c r="H254">
        <v>2381</v>
      </c>
      <c r="I254">
        <v>4.6699999999999998E-2</v>
      </c>
      <c r="J254" t="b">
        <v>1</v>
      </c>
    </row>
    <row r="255" spans="1:10" x14ac:dyDescent="0.25">
      <c r="A255" t="s">
        <v>223</v>
      </c>
      <c r="B255">
        <v>2</v>
      </c>
      <c r="C255" t="s">
        <v>62</v>
      </c>
      <c r="D255">
        <v>1000</v>
      </c>
      <c r="E255">
        <v>2</v>
      </c>
      <c r="F255">
        <v>2580</v>
      </c>
      <c r="G255">
        <v>6.0754000000000001</v>
      </c>
      <c r="H255">
        <v>2580</v>
      </c>
      <c r="I255">
        <v>4.6300000000000001E-2</v>
      </c>
      <c r="J255" t="b">
        <v>1</v>
      </c>
    </row>
    <row r="256" spans="1:10" x14ac:dyDescent="0.25">
      <c r="A256" t="s">
        <v>120</v>
      </c>
      <c r="B256">
        <v>1</v>
      </c>
      <c r="C256" t="s">
        <v>113</v>
      </c>
      <c r="D256">
        <v>500</v>
      </c>
      <c r="E256">
        <v>1</v>
      </c>
      <c r="F256">
        <v>2473</v>
      </c>
      <c r="G256">
        <v>1.956</v>
      </c>
      <c r="H256">
        <v>2473</v>
      </c>
      <c r="I256">
        <v>4.6199999999999998E-2</v>
      </c>
      <c r="J256" t="b">
        <v>1</v>
      </c>
    </row>
    <row r="257" spans="1:10" x14ac:dyDescent="0.25">
      <c r="A257" t="s">
        <v>18</v>
      </c>
      <c r="B257">
        <v>1</v>
      </c>
      <c r="C257" t="s">
        <v>11</v>
      </c>
      <c r="D257">
        <v>500</v>
      </c>
      <c r="E257">
        <v>1</v>
      </c>
      <c r="F257">
        <v>2132</v>
      </c>
      <c r="G257">
        <v>2.4304000000000001</v>
      </c>
      <c r="H257">
        <v>2132</v>
      </c>
      <c r="I257">
        <v>4.5999999999999999E-2</v>
      </c>
      <c r="J257" t="b">
        <v>1</v>
      </c>
    </row>
    <row r="258" spans="1:10" x14ac:dyDescent="0.25">
      <c r="A258" t="s">
        <v>190</v>
      </c>
      <c r="B258">
        <v>2</v>
      </c>
      <c r="C258" t="s">
        <v>11</v>
      </c>
      <c r="D258">
        <v>500</v>
      </c>
      <c r="E258">
        <v>5</v>
      </c>
      <c r="F258">
        <v>1721</v>
      </c>
      <c r="G258">
        <v>2.1600999999999999</v>
      </c>
      <c r="H258">
        <v>1721</v>
      </c>
      <c r="I258">
        <v>4.5999999999999999E-2</v>
      </c>
      <c r="J258" t="b">
        <v>1</v>
      </c>
    </row>
    <row r="259" spans="1:10" x14ac:dyDescent="0.25">
      <c r="A259" t="s">
        <v>311</v>
      </c>
      <c r="B259">
        <v>2</v>
      </c>
      <c r="C259" t="s">
        <v>113</v>
      </c>
      <c r="D259">
        <v>700</v>
      </c>
      <c r="E259">
        <v>9</v>
      </c>
      <c r="F259">
        <v>2390</v>
      </c>
      <c r="G259">
        <v>3.7153</v>
      </c>
      <c r="H259">
        <v>2390</v>
      </c>
      <c r="I259">
        <v>4.5999999999999999E-2</v>
      </c>
      <c r="J259" t="b">
        <v>1</v>
      </c>
    </row>
    <row r="260" spans="1:10" x14ac:dyDescent="0.25">
      <c r="A260" t="s">
        <v>237</v>
      </c>
      <c r="B260">
        <v>2</v>
      </c>
      <c r="C260" t="s">
        <v>62</v>
      </c>
      <c r="D260">
        <v>800</v>
      </c>
      <c r="E260">
        <v>4</v>
      </c>
      <c r="F260">
        <v>2383</v>
      </c>
      <c r="G260">
        <v>4.3147000000000002</v>
      </c>
      <c r="H260">
        <v>2383</v>
      </c>
      <c r="I260">
        <v>4.58E-2</v>
      </c>
      <c r="J260" t="b">
        <v>1</v>
      </c>
    </row>
    <row r="261" spans="1:10" x14ac:dyDescent="0.25">
      <c r="A261" t="s">
        <v>273</v>
      </c>
      <c r="B261">
        <v>2</v>
      </c>
      <c r="C261" t="s">
        <v>113</v>
      </c>
      <c r="D261">
        <v>1000</v>
      </c>
      <c r="E261">
        <v>2</v>
      </c>
      <c r="F261">
        <v>2620</v>
      </c>
      <c r="G261">
        <v>5.8243999999999998</v>
      </c>
      <c r="H261">
        <v>2620</v>
      </c>
      <c r="I261">
        <v>4.5499999999999999E-2</v>
      </c>
      <c r="J261" t="b">
        <v>1</v>
      </c>
    </row>
    <row r="262" spans="1:10" x14ac:dyDescent="0.25">
      <c r="A262" t="s">
        <v>251</v>
      </c>
      <c r="B262">
        <v>2</v>
      </c>
      <c r="C262" t="s">
        <v>62</v>
      </c>
      <c r="D262">
        <v>700</v>
      </c>
      <c r="E262">
        <v>7</v>
      </c>
      <c r="F262">
        <v>2468</v>
      </c>
      <c r="G262">
        <v>3.6473</v>
      </c>
      <c r="H262">
        <v>2468</v>
      </c>
      <c r="I262">
        <v>4.5400000000000003E-2</v>
      </c>
      <c r="J262" t="b">
        <v>1</v>
      </c>
    </row>
    <row r="263" spans="1:10" x14ac:dyDescent="0.25">
      <c r="A263" t="s">
        <v>206</v>
      </c>
      <c r="B263">
        <v>2</v>
      </c>
      <c r="C263" t="s">
        <v>11</v>
      </c>
      <c r="D263">
        <v>700</v>
      </c>
      <c r="E263">
        <v>8</v>
      </c>
      <c r="F263">
        <v>1860</v>
      </c>
      <c r="G263">
        <v>4.1269999999999998</v>
      </c>
      <c r="H263">
        <v>1860</v>
      </c>
      <c r="I263">
        <v>4.5199999999999997E-2</v>
      </c>
      <c r="J263" t="b">
        <v>1</v>
      </c>
    </row>
    <row r="264" spans="1:10" x14ac:dyDescent="0.25">
      <c r="A264" t="s">
        <v>281</v>
      </c>
      <c r="B264">
        <v>2</v>
      </c>
      <c r="C264" t="s">
        <v>113</v>
      </c>
      <c r="D264">
        <v>700</v>
      </c>
      <c r="E264">
        <v>3</v>
      </c>
      <c r="F264">
        <v>2220</v>
      </c>
      <c r="G264">
        <v>4.3129999999999997</v>
      </c>
      <c r="H264">
        <v>2220</v>
      </c>
      <c r="I264">
        <v>4.5100000000000001E-2</v>
      </c>
      <c r="J264" t="b">
        <v>1</v>
      </c>
    </row>
    <row r="265" spans="1:10" x14ac:dyDescent="0.25">
      <c r="A265" t="s">
        <v>446</v>
      </c>
      <c r="B265">
        <v>3</v>
      </c>
      <c r="C265" t="s">
        <v>113</v>
      </c>
      <c r="D265">
        <v>700</v>
      </c>
      <c r="E265">
        <v>6</v>
      </c>
      <c r="F265">
        <v>3744</v>
      </c>
      <c r="G265">
        <v>23.786000000000001</v>
      </c>
      <c r="H265">
        <v>3744</v>
      </c>
      <c r="I265">
        <v>4.4999999999999998E-2</v>
      </c>
      <c r="J265" t="b">
        <v>1</v>
      </c>
    </row>
    <row r="266" spans="1:10" x14ac:dyDescent="0.25">
      <c r="A266" t="s">
        <v>578</v>
      </c>
      <c r="B266">
        <v>4</v>
      </c>
      <c r="C266" t="s">
        <v>113</v>
      </c>
      <c r="D266">
        <v>1000</v>
      </c>
      <c r="E266">
        <v>3</v>
      </c>
      <c r="F266">
        <v>5504</v>
      </c>
      <c r="G266">
        <v>141.3724</v>
      </c>
      <c r="H266">
        <v>5504</v>
      </c>
      <c r="I266">
        <v>4.48E-2</v>
      </c>
      <c r="J266" t="b">
        <v>1</v>
      </c>
    </row>
    <row r="267" spans="1:10" x14ac:dyDescent="0.25">
      <c r="A267" t="s">
        <v>252</v>
      </c>
      <c r="B267">
        <v>2</v>
      </c>
      <c r="C267" t="s">
        <v>62</v>
      </c>
      <c r="D267">
        <v>800</v>
      </c>
      <c r="E267">
        <v>7</v>
      </c>
      <c r="F267">
        <v>2287</v>
      </c>
      <c r="G267">
        <v>4.1997999999999998</v>
      </c>
      <c r="H267">
        <v>2287</v>
      </c>
      <c r="I267">
        <v>4.4699999999999997E-2</v>
      </c>
      <c r="J267" t="b">
        <v>1</v>
      </c>
    </row>
    <row r="268" spans="1:10" x14ac:dyDescent="0.25">
      <c r="A268" t="s">
        <v>551</v>
      </c>
      <c r="B268">
        <v>4</v>
      </c>
      <c r="C268" t="s">
        <v>62</v>
      </c>
      <c r="D268">
        <v>700</v>
      </c>
      <c r="E268">
        <v>7</v>
      </c>
      <c r="F268">
        <v>3260</v>
      </c>
      <c r="G268">
        <v>22.343699999999998</v>
      </c>
      <c r="H268">
        <v>3260</v>
      </c>
      <c r="I268">
        <v>4.4600000000000001E-2</v>
      </c>
      <c r="J268" t="b">
        <v>1</v>
      </c>
    </row>
    <row r="269" spans="1:10" x14ac:dyDescent="0.25">
      <c r="A269" t="s">
        <v>249</v>
      </c>
      <c r="B269">
        <v>2</v>
      </c>
      <c r="C269" t="s">
        <v>62</v>
      </c>
      <c r="D269">
        <v>300</v>
      </c>
      <c r="E269">
        <v>7</v>
      </c>
      <c r="F269">
        <v>1272</v>
      </c>
      <c r="G269">
        <v>0.83360000000000001</v>
      </c>
      <c r="H269">
        <v>1272</v>
      </c>
      <c r="I269">
        <v>4.4499999999999998E-2</v>
      </c>
      <c r="J269" t="b">
        <v>1</v>
      </c>
    </row>
    <row r="270" spans="1:10" x14ac:dyDescent="0.25">
      <c r="A270" t="s">
        <v>28</v>
      </c>
      <c r="B270">
        <v>1</v>
      </c>
      <c r="C270" t="s">
        <v>11</v>
      </c>
      <c r="D270">
        <v>500</v>
      </c>
      <c r="E270">
        <v>3</v>
      </c>
      <c r="F270">
        <v>2128</v>
      </c>
      <c r="G270">
        <v>1.8835</v>
      </c>
      <c r="H270">
        <v>2128</v>
      </c>
      <c r="I270">
        <v>4.4299999999999999E-2</v>
      </c>
      <c r="J270" t="b">
        <v>1</v>
      </c>
    </row>
    <row r="271" spans="1:10" x14ac:dyDescent="0.25">
      <c r="A271" t="s">
        <v>390</v>
      </c>
      <c r="B271">
        <v>3</v>
      </c>
      <c r="C271" t="s">
        <v>62</v>
      </c>
      <c r="D271">
        <v>500</v>
      </c>
      <c r="E271">
        <v>5</v>
      </c>
      <c r="F271">
        <v>2305</v>
      </c>
      <c r="G271">
        <v>7.6738</v>
      </c>
      <c r="H271">
        <v>2305</v>
      </c>
      <c r="I271">
        <v>4.41E-2</v>
      </c>
      <c r="J271" t="b">
        <v>1</v>
      </c>
    </row>
    <row r="272" spans="1:10" x14ac:dyDescent="0.25">
      <c r="A272" t="s">
        <v>405</v>
      </c>
      <c r="B272">
        <v>3</v>
      </c>
      <c r="C272" t="s">
        <v>62</v>
      </c>
      <c r="D272">
        <v>500</v>
      </c>
      <c r="E272">
        <v>8</v>
      </c>
      <c r="F272">
        <v>2185</v>
      </c>
      <c r="G272">
        <v>6.9236000000000004</v>
      </c>
      <c r="H272">
        <v>2185</v>
      </c>
      <c r="I272">
        <v>4.41E-2</v>
      </c>
      <c r="J272" t="b">
        <v>1</v>
      </c>
    </row>
    <row r="273" spans="1:10" x14ac:dyDescent="0.25">
      <c r="A273" t="s">
        <v>208</v>
      </c>
      <c r="B273">
        <v>2</v>
      </c>
      <c r="C273" t="s">
        <v>11</v>
      </c>
      <c r="D273">
        <v>1000</v>
      </c>
      <c r="E273">
        <v>9</v>
      </c>
      <c r="F273">
        <v>2156</v>
      </c>
      <c r="G273">
        <v>6.1783999999999999</v>
      </c>
      <c r="H273">
        <v>2156</v>
      </c>
      <c r="I273">
        <v>4.3999999999999997E-2</v>
      </c>
      <c r="J273" t="b">
        <v>1</v>
      </c>
    </row>
    <row r="274" spans="1:10" x14ac:dyDescent="0.25">
      <c r="A274" t="s">
        <v>312</v>
      </c>
      <c r="B274">
        <v>2</v>
      </c>
      <c r="C274" t="s">
        <v>113</v>
      </c>
      <c r="D274">
        <v>800</v>
      </c>
      <c r="E274">
        <v>9</v>
      </c>
      <c r="F274">
        <v>2533</v>
      </c>
      <c r="G274">
        <v>3.6425000000000001</v>
      </c>
      <c r="H274">
        <v>2533</v>
      </c>
      <c r="I274">
        <v>4.3999999999999997E-2</v>
      </c>
      <c r="J274" t="b">
        <v>1</v>
      </c>
    </row>
    <row r="275" spans="1:10" x14ac:dyDescent="0.25">
      <c r="A275" t="s">
        <v>485</v>
      </c>
      <c r="B275">
        <v>4</v>
      </c>
      <c r="C275" t="s">
        <v>11</v>
      </c>
      <c r="D275">
        <v>500</v>
      </c>
      <c r="E275">
        <v>4</v>
      </c>
      <c r="F275">
        <v>2282</v>
      </c>
      <c r="G275">
        <v>3.5893999999999999</v>
      </c>
      <c r="H275">
        <v>2282</v>
      </c>
      <c r="I275">
        <v>4.3999999999999997E-2</v>
      </c>
      <c r="J275" t="b">
        <v>1</v>
      </c>
    </row>
    <row r="276" spans="1:10" x14ac:dyDescent="0.25">
      <c r="A276" t="s">
        <v>231</v>
      </c>
      <c r="B276">
        <v>2</v>
      </c>
      <c r="C276" t="s">
        <v>62</v>
      </c>
      <c r="D276">
        <v>700</v>
      </c>
      <c r="E276">
        <v>3</v>
      </c>
      <c r="F276">
        <v>2212</v>
      </c>
      <c r="G276">
        <v>4.8392999999999997</v>
      </c>
      <c r="H276">
        <v>2212</v>
      </c>
      <c r="I276">
        <v>4.3400000000000001E-2</v>
      </c>
      <c r="J276" t="b">
        <v>1</v>
      </c>
    </row>
    <row r="277" spans="1:10" x14ac:dyDescent="0.25">
      <c r="A277" t="s">
        <v>27</v>
      </c>
      <c r="B277">
        <v>1</v>
      </c>
      <c r="C277" t="s">
        <v>11</v>
      </c>
      <c r="D277">
        <v>300</v>
      </c>
      <c r="E277">
        <v>3</v>
      </c>
      <c r="F277">
        <v>1331</v>
      </c>
      <c r="G277">
        <v>0.39900000000000002</v>
      </c>
      <c r="H277">
        <v>1331</v>
      </c>
      <c r="I277">
        <v>4.3299999999999998E-2</v>
      </c>
      <c r="J277" t="b">
        <v>1</v>
      </c>
    </row>
    <row r="278" spans="1:10" x14ac:dyDescent="0.25">
      <c r="A278" t="s">
        <v>297</v>
      </c>
      <c r="B278">
        <v>2</v>
      </c>
      <c r="C278" t="s">
        <v>113</v>
      </c>
      <c r="D278">
        <v>800</v>
      </c>
      <c r="E278">
        <v>6</v>
      </c>
      <c r="F278">
        <v>2483</v>
      </c>
      <c r="G278">
        <v>3.6482000000000001</v>
      </c>
      <c r="H278">
        <v>2483</v>
      </c>
      <c r="I278">
        <v>4.2999999999999997E-2</v>
      </c>
      <c r="J278" t="b">
        <v>1</v>
      </c>
    </row>
    <row r="279" spans="1:10" x14ac:dyDescent="0.25">
      <c r="A279" t="s">
        <v>99</v>
      </c>
      <c r="B279">
        <v>1</v>
      </c>
      <c r="C279" t="s">
        <v>62</v>
      </c>
      <c r="D279">
        <v>500</v>
      </c>
      <c r="E279">
        <v>7</v>
      </c>
      <c r="F279">
        <v>2092</v>
      </c>
      <c r="G279">
        <v>1.8711</v>
      </c>
      <c r="H279">
        <v>2092</v>
      </c>
      <c r="I279">
        <v>4.2700000000000002E-2</v>
      </c>
      <c r="J279" t="b">
        <v>1</v>
      </c>
    </row>
    <row r="280" spans="1:10" x14ac:dyDescent="0.25">
      <c r="A280" t="s">
        <v>188</v>
      </c>
      <c r="B280">
        <v>2</v>
      </c>
      <c r="C280" t="s">
        <v>11</v>
      </c>
      <c r="D280">
        <v>1000</v>
      </c>
      <c r="E280">
        <v>5</v>
      </c>
      <c r="F280">
        <v>2205</v>
      </c>
      <c r="G280">
        <v>6.9177</v>
      </c>
      <c r="H280">
        <v>2205</v>
      </c>
      <c r="I280">
        <v>4.2500000000000003E-2</v>
      </c>
      <c r="J280" t="b">
        <v>1</v>
      </c>
    </row>
    <row r="281" spans="1:10" x14ac:dyDescent="0.25">
      <c r="A281" t="s">
        <v>350</v>
      </c>
      <c r="B281">
        <v>3</v>
      </c>
      <c r="C281" t="s">
        <v>11</v>
      </c>
      <c r="D281">
        <v>500</v>
      </c>
      <c r="E281">
        <v>7</v>
      </c>
      <c r="F281">
        <v>2235</v>
      </c>
      <c r="G281">
        <v>7.65</v>
      </c>
      <c r="H281">
        <v>2235</v>
      </c>
      <c r="I281">
        <v>4.2500000000000003E-2</v>
      </c>
      <c r="J281" t="b">
        <v>1</v>
      </c>
    </row>
    <row r="282" spans="1:10" x14ac:dyDescent="0.25">
      <c r="A282" t="s">
        <v>175</v>
      </c>
      <c r="B282">
        <v>2</v>
      </c>
      <c r="C282" t="s">
        <v>11</v>
      </c>
      <c r="D282">
        <v>500</v>
      </c>
      <c r="E282">
        <v>2</v>
      </c>
      <c r="F282">
        <v>1739</v>
      </c>
      <c r="G282">
        <v>2.1518000000000002</v>
      </c>
      <c r="H282">
        <v>1739</v>
      </c>
      <c r="I282">
        <v>4.24E-2</v>
      </c>
      <c r="J282" t="b">
        <v>1</v>
      </c>
    </row>
    <row r="283" spans="1:10" x14ac:dyDescent="0.25">
      <c r="A283" t="s">
        <v>337</v>
      </c>
      <c r="B283">
        <v>3</v>
      </c>
      <c r="C283" t="s">
        <v>11</v>
      </c>
      <c r="D283">
        <v>800</v>
      </c>
      <c r="E283">
        <v>4</v>
      </c>
      <c r="F283">
        <v>3740</v>
      </c>
      <c r="G283">
        <v>72.297399999999996</v>
      </c>
      <c r="H283">
        <v>3740</v>
      </c>
      <c r="I283">
        <v>4.24E-2</v>
      </c>
      <c r="J283" t="b">
        <v>1</v>
      </c>
    </row>
    <row r="284" spans="1:10" x14ac:dyDescent="0.25">
      <c r="A284" t="s">
        <v>287</v>
      </c>
      <c r="B284">
        <v>2</v>
      </c>
      <c r="C284" t="s">
        <v>113</v>
      </c>
      <c r="D284">
        <v>800</v>
      </c>
      <c r="E284">
        <v>4</v>
      </c>
      <c r="F284">
        <v>2453</v>
      </c>
      <c r="G284">
        <v>3.5121000000000002</v>
      </c>
      <c r="H284">
        <v>2453</v>
      </c>
      <c r="I284">
        <v>4.2299999999999997E-2</v>
      </c>
      <c r="J284" t="b">
        <v>1</v>
      </c>
    </row>
    <row r="285" spans="1:10" x14ac:dyDescent="0.25">
      <c r="A285" t="s">
        <v>387</v>
      </c>
      <c r="B285">
        <v>3</v>
      </c>
      <c r="C285" t="s">
        <v>62</v>
      </c>
      <c r="D285">
        <v>800</v>
      </c>
      <c r="E285">
        <v>4</v>
      </c>
      <c r="F285">
        <v>3677</v>
      </c>
      <c r="G285">
        <v>75.941699999999997</v>
      </c>
      <c r="H285">
        <v>3677</v>
      </c>
      <c r="I285">
        <v>4.2000000000000003E-2</v>
      </c>
      <c r="J285" t="b">
        <v>1</v>
      </c>
    </row>
    <row r="286" spans="1:10" x14ac:dyDescent="0.25">
      <c r="A286" t="s">
        <v>422</v>
      </c>
      <c r="B286">
        <v>3</v>
      </c>
      <c r="C286" t="s">
        <v>113</v>
      </c>
      <c r="D286">
        <v>800</v>
      </c>
      <c r="E286">
        <v>1</v>
      </c>
      <c r="F286">
        <v>4152</v>
      </c>
      <c r="G286">
        <v>69.147400000000005</v>
      </c>
      <c r="H286">
        <v>4152</v>
      </c>
      <c r="I286">
        <v>4.19E-2</v>
      </c>
      <c r="J286" t="b">
        <v>1</v>
      </c>
    </row>
    <row r="287" spans="1:10" x14ac:dyDescent="0.25">
      <c r="A287" t="s">
        <v>538</v>
      </c>
      <c r="B287">
        <v>4</v>
      </c>
      <c r="C287" t="s">
        <v>62</v>
      </c>
      <c r="D287">
        <v>1000</v>
      </c>
      <c r="E287">
        <v>5</v>
      </c>
      <c r="F287">
        <v>4610</v>
      </c>
      <c r="G287">
        <v>137.03989999999999</v>
      </c>
      <c r="H287">
        <v>4610</v>
      </c>
      <c r="I287">
        <v>4.19E-2</v>
      </c>
      <c r="J287" t="b">
        <v>1</v>
      </c>
    </row>
    <row r="288" spans="1:10" x14ac:dyDescent="0.25">
      <c r="A288" t="s">
        <v>302</v>
      </c>
      <c r="B288">
        <v>2</v>
      </c>
      <c r="C288" t="s">
        <v>113</v>
      </c>
      <c r="D288">
        <v>800</v>
      </c>
      <c r="E288">
        <v>7</v>
      </c>
      <c r="F288">
        <v>2381</v>
      </c>
      <c r="G288">
        <v>3.8168000000000002</v>
      </c>
      <c r="H288">
        <v>2381</v>
      </c>
      <c r="I288">
        <v>4.1799999999999997E-2</v>
      </c>
      <c r="J288" t="b">
        <v>1</v>
      </c>
    </row>
    <row r="289" spans="1:10" x14ac:dyDescent="0.25">
      <c r="A289" t="s">
        <v>217</v>
      </c>
      <c r="B289">
        <v>2</v>
      </c>
      <c r="C289" t="s">
        <v>62</v>
      </c>
      <c r="D289">
        <v>800</v>
      </c>
      <c r="E289">
        <v>10</v>
      </c>
      <c r="F289">
        <v>2349</v>
      </c>
      <c r="G289">
        <v>5.6112000000000002</v>
      </c>
      <c r="H289">
        <v>2349</v>
      </c>
      <c r="I289">
        <v>4.1599999999999998E-2</v>
      </c>
      <c r="J289" t="b">
        <v>1</v>
      </c>
    </row>
    <row r="290" spans="1:10" x14ac:dyDescent="0.25">
      <c r="A290" t="s">
        <v>173</v>
      </c>
      <c r="B290">
        <v>2</v>
      </c>
      <c r="C290" t="s">
        <v>11</v>
      </c>
      <c r="D290">
        <v>1000</v>
      </c>
      <c r="E290">
        <v>2</v>
      </c>
      <c r="F290">
        <v>2199</v>
      </c>
      <c r="G290">
        <v>9.2225000000000001</v>
      </c>
      <c r="H290">
        <v>2199</v>
      </c>
      <c r="I290">
        <v>4.1399999999999999E-2</v>
      </c>
      <c r="J290" t="b">
        <v>1</v>
      </c>
    </row>
    <row r="291" spans="1:10" x14ac:dyDescent="0.25">
      <c r="A291" t="s">
        <v>214</v>
      </c>
      <c r="B291">
        <v>2</v>
      </c>
      <c r="C291" t="s">
        <v>62</v>
      </c>
      <c r="D291">
        <v>300</v>
      </c>
      <c r="E291">
        <v>10</v>
      </c>
      <c r="F291">
        <v>1087</v>
      </c>
      <c r="G291">
        <v>1.0066999999999999</v>
      </c>
      <c r="H291">
        <v>1087</v>
      </c>
      <c r="I291">
        <v>4.1399999999999999E-2</v>
      </c>
      <c r="J291" t="b">
        <v>1</v>
      </c>
    </row>
    <row r="292" spans="1:10" x14ac:dyDescent="0.25">
      <c r="A292" t="s">
        <v>135</v>
      </c>
      <c r="B292">
        <v>1</v>
      </c>
      <c r="C292" t="s">
        <v>113</v>
      </c>
      <c r="D292">
        <v>500</v>
      </c>
      <c r="E292">
        <v>4</v>
      </c>
      <c r="F292">
        <v>2338</v>
      </c>
      <c r="G292">
        <v>1.9957</v>
      </c>
      <c r="H292">
        <v>2338</v>
      </c>
      <c r="I292">
        <v>4.1200000000000001E-2</v>
      </c>
      <c r="J292" t="b">
        <v>1</v>
      </c>
    </row>
    <row r="293" spans="1:10" x14ac:dyDescent="0.25">
      <c r="A293" t="s">
        <v>150</v>
      </c>
      <c r="B293">
        <v>1</v>
      </c>
      <c r="C293" t="s">
        <v>113</v>
      </c>
      <c r="D293">
        <v>500</v>
      </c>
      <c r="E293">
        <v>7</v>
      </c>
      <c r="F293">
        <v>2547</v>
      </c>
      <c r="G293">
        <v>2.0861999999999998</v>
      </c>
      <c r="H293">
        <v>2547</v>
      </c>
      <c r="I293">
        <v>4.1200000000000001E-2</v>
      </c>
      <c r="J293" t="b">
        <v>1</v>
      </c>
    </row>
    <row r="294" spans="1:10" x14ac:dyDescent="0.25">
      <c r="A294" t="s">
        <v>232</v>
      </c>
      <c r="B294">
        <v>2</v>
      </c>
      <c r="C294" t="s">
        <v>62</v>
      </c>
      <c r="D294">
        <v>800</v>
      </c>
      <c r="E294">
        <v>3</v>
      </c>
      <c r="F294">
        <v>2346</v>
      </c>
      <c r="G294">
        <v>3.9977999999999998</v>
      </c>
      <c r="H294">
        <v>2346</v>
      </c>
      <c r="I294">
        <v>4.1099999999999998E-2</v>
      </c>
      <c r="J294" t="b">
        <v>1</v>
      </c>
    </row>
    <row r="295" spans="1:10" x14ac:dyDescent="0.25">
      <c r="A295" t="s">
        <v>320</v>
      </c>
      <c r="B295">
        <v>3</v>
      </c>
      <c r="C295" t="s">
        <v>11</v>
      </c>
      <c r="D295">
        <v>500</v>
      </c>
      <c r="E295">
        <v>1</v>
      </c>
      <c r="F295">
        <v>2225</v>
      </c>
      <c r="G295">
        <v>6.3137999999999996</v>
      </c>
      <c r="H295">
        <v>2225</v>
      </c>
      <c r="I295">
        <v>4.1000000000000002E-2</v>
      </c>
      <c r="J295" t="b">
        <v>1</v>
      </c>
    </row>
    <row r="296" spans="1:10" x14ac:dyDescent="0.25">
      <c r="A296" t="s">
        <v>592</v>
      </c>
      <c r="B296">
        <v>4</v>
      </c>
      <c r="C296" t="s">
        <v>113</v>
      </c>
      <c r="D296">
        <v>800</v>
      </c>
      <c r="E296">
        <v>5</v>
      </c>
      <c r="F296">
        <v>4116</v>
      </c>
      <c r="G296">
        <v>69.061199999999999</v>
      </c>
      <c r="H296">
        <v>4116</v>
      </c>
      <c r="I296">
        <v>4.1000000000000002E-2</v>
      </c>
      <c r="J296" t="b">
        <v>1</v>
      </c>
    </row>
    <row r="297" spans="1:10" x14ac:dyDescent="0.25">
      <c r="A297" t="s">
        <v>608</v>
      </c>
      <c r="B297">
        <v>4</v>
      </c>
      <c r="C297" t="s">
        <v>113</v>
      </c>
      <c r="D297">
        <v>1000</v>
      </c>
      <c r="E297">
        <v>9</v>
      </c>
      <c r="F297">
        <v>5385</v>
      </c>
      <c r="G297">
        <v>135.01910000000001</v>
      </c>
      <c r="H297">
        <v>5385</v>
      </c>
      <c r="I297">
        <v>4.1000000000000002E-2</v>
      </c>
      <c r="J297" t="b">
        <v>1</v>
      </c>
    </row>
    <row r="298" spans="1:10" x14ac:dyDescent="0.25">
      <c r="A298" t="s">
        <v>316</v>
      </c>
      <c r="B298">
        <v>3</v>
      </c>
      <c r="C298" t="s">
        <v>11</v>
      </c>
      <c r="D298">
        <v>700</v>
      </c>
      <c r="E298">
        <v>10</v>
      </c>
      <c r="F298">
        <v>3145</v>
      </c>
      <c r="G298">
        <v>24.492599999999999</v>
      </c>
      <c r="H298">
        <v>3145</v>
      </c>
      <c r="I298">
        <v>4.0899999999999999E-2</v>
      </c>
      <c r="J298" t="b">
        <v>1</v>
      </c>
    </row>
    <row r="299" spans="1:10" x14ac:dyDescent="0.25">
      <c r="A299" t="s">
        <v>181</v>
      </c>
      <c r="B299">
        <v>2</v>
      </c>
      <c r="C299" t="s">
        <v>11</v>
      </c>
      <c r="D299">
        <v>700</v>
      </c>
      <c r="E299">
        <v>3</v>
      </c>
      <c r="F299">
        <v>1939</v>
      </c>
      <c r="G299">
        <v>4.0564999999999998</v>
      </c>
      <c r="H299">
        <v>1939</v>
      </c>
      <c r="I299">
        <v>4.0599999999999997E-2</v>
      </c>
      <c r="J299" t="b">
        <v>1</v>
      </c>
    </row>
    <row r="300" spans="1:10" x14ac:dyDescent="0.25">
      <c r="A300" t="s">
        <v>321</v>
      </c>
      <c r="B300">
        <v>3</v>
      </c>
      <c r="C300" t="s">
        <v>11</v>
      </c>
      <c r="D300">
        <v>700</v>
      </c>
      <c r="E300">
        <v>1</v>
      </c>
      <c r="F300">
        <v>3155</v>
      </c>
      <c r="G300">
        <v>23.492599999999999</v>
      </c>
      <c r="H300">
        <v>3155</v>
      </c>
      <c r="I300">
        <v>4.0599999999999997E-2</v>
      </c>
      <c r="J300" t="b">
        <v>1</v>
      </c>
    </row>
    <row r="301" spans="1:10" x14ac:dyDescent="0.25">
      <c r="A301" t="s">
        <v>125</v>
      </c>
      <c r="B301">
        <v>1</v>
      </c>
      <c r="C301" t="s">
        <v>113</v>
      </c>
      <c r="D301">
        <v>500</v>
      </c>
      <c r="E301">
        <v>2</v>
      </c>
      <c r="F301">
        <v>2492</v>
      </c>
      <c r="G301">
        <v>2.1116000000000001</v>
      </c>
      <c r="H301">
        <v>2492</v>
      </c>
      <c r="I301">
        <v>4.0500000000000001E-2</v>
      </c>
      <c r="J301" t="b">
        <v>1</v>
      </c>
    </row>
    <row r="302" spans="1:10" x14ac:dyDescent="0.25">
      <c r="A302" t="s">
        <v>367</v>
      </c>
      <c r="B302">
        <v>3</v>
      </c>
      <c r="C302" t="s">
        <v>62</v>
      </c>
      <c r="D302">
        <v>800</v>
      </c>
      <c r="E302">
        <v>10</v>
      </c>
      <c r="F302">
        <v>3570</v>
      </c>
      <c r="G302">
        <v>71.8964</v>
      </c>
      <c r="H302">
        <v>3570</v>
      </c>
      <c r="I302">
        <v>4.02E-2</v>
      </c>
      <c r="J302" t="b">
        <v>1</v>
      </c>
    </row>
    <row r="303" spans="1:10" x14ac:dyDescent="0.25">
      <c r="A303" t="s">
        <v>315</v>
      </c>
      <c r="B303">
        <v>3</v>
      </c>
      <c r="C303" t="s">
        <v>11</v>
      </c>
      <c r="D303">
        <v>500</v>
      </c>
      <c r="E303">
        <v>10</v>
      </c>
      <c r="F303">
        <v>2215</v>
      </c>
      <c r="G303">
        <v>7.7294</v>
      </c>
      <c r="H303">
        <v>2215</v>
      </c>
      <c r="I303">
        <v>4.0099999999999997E-2</v>
      </c>
      <c r="J303" t="b">
        <v>1</v>
      </c>
    </row>
    <row r="304" spans="1:10" x14ac:dyDescent="0.25">
      <c r="A304" t="s">
        <v>289</v>
      </c>
      <c r="B304">
        <v>2</v>
      </c>
      <c r="C304" t="s">
        <v>113</v>
      </c>
      <c r="D304">
        <v>300</v>
      </c>
      <c r="E304">
        <v>5</v>
      </c>
      <c r="F304">
        <v>1366</v>
      </c>
      <c r="G304">
        <v>0.77780000000000005</v>
      </c>
      <c r="H304">
        <v>1366</v>
      </c>
      <c r="I304">
        <v>0.04</v>
      </c>
      <c r="J304" t="b">
        <v>1</v>
      </c>
    </row>
    <row r="305" spans="1:10" x14ac:dyDescent="0.25">
      <c r="A305" t="s">
        <v>334</v>
      </c>
      <c r="B305">
        <v>3</v>
      </c>
      <c r="C305" t="s">
        <v>11</v>
      </c>
      <c r="D305">
        <v>300</v>
      </c>
      <c r="E305">
        <v>4</v>
      </c>
      <c r="F305">
        <v>1304</v>
      </c>
      <c r="G305">
        <v>0.35909999999999997</v>
      </c>
      <c r="H305">
        <v>1304</v>
      </c>
      <c r="I305">
        <v>0.04</v>
      </c>
      <c r="J305" t="b">
        <v>1</v>
      </c>
    </row>
    <row r="306" spans="1:10" x14ac:dyDescent="0.25">
      <c r="A306" t="s">
        <v>351</v>
      </c>
      <c r="B306">
        <v>3</v>
      </c>
      <c r="C306" t="s">
        <v>11</v>
      </c>
      <c r="D306">
        <v>700</v>
      </c>
      <c r="E306">
        <v>7</v>
      </c>
      <c r="F306">
        <v>3293</v>
      </c>
      <c r="G306">
        <v>21.3233</v>
      </c>
      <c r="H306">
        <v>3293</v>
      </c>
      <c r="I306">
        <v>0.04</v>
      </c>
      <c r="J306" t="b">
        <v>1</v>
      </c>
    </row>
    <row r="307" spans="1:10" x14ac:dyDescent="0.25">
      <c r="A307" t="s">
        <v>359</v>
      </c>
      <c r="B307">
        <v>3</v>
      </c>
      <c r="C307" t="s">
        <v>11</v>
      </c>
      <c r="D307">
        <v>300</v>
      </c>
      <c r="E307">
        <v>9</v>
      </c>
      <c r="F307">
        <v>1295</v>
      </c>
      <c r="G307">
        <v>0.4204</v>
      </c>
      <c r="H307">
        <v>1295</v>
      </c>
      <c r="I307">
        <v>3.9800000000000002E-2</v>
      </c>
      <c r="J307" t="b">
        <v>1</v>
      </c>
    </row>
    <row r="308" spans="1:10" x14ac:dyDescent="0.25">
      <c r="A308" t="s">
        <v>540</v>
      </c>
      <c r="B308">
        <v>4</v>
      </c>
      <c r="C308" t="s">
        <v>62</v>
      </c>
      <c r="D308">
        <v>500</v>
      </c>
      <c r="E308">
        <v>5</v>
      </c>
      <c r="F308">
        <v>2297</v>
      </c>
      <c r="G308">
        <v>4.5010000000000003</v>
      </c>
      <c r="H308">
        <v>2297</v>
      </c>
      <c r="I308">
        <v>3.9800000000000002E-2</v>
      </c>
      <c r="J308" t="b">
        <v>1</v>
      </c>
    </row>
    <row r="309" spans="1:10" x14ac:dyDescent="0.25">
      <c r="A309" t="s">
        <v>603</v>
      </c>
      <c r="B309">
        <v>4</v>
      </c>
      <c r="C309" t="s">
        <v>113</v>
      </c>
      <c r="D309">
        <v>1000</v>
      </c>
      <c r="E309">
        <v>8</v>
      </c>
      <c r="F309">
        <v>5469</v>
      </c>
      <c r="G309">
        <v>134.6001</v>
      </c>
      <c r="H309">
        <v>5469</v>
      </c>
      <c r="I309">
        <v>3.9699999999999999E-2</v>
      </c>
      <c r="J309" t="b">
        <v>1</v>
      </c>
    </row>
    <row r="310" spans="1:10" x14ac:dyDescent="0.25">
      <c r="A310" t="s">
        <v>88</v>
      </c>
      <c r="B310">
        <v>1</v>
      </c>
      <c r="C310" t="s">
        <v>62</v>
      </c>
      <c r="D310">
        <v>300</v>
      </c>
      <c r="E310">
        <v>5</v>
      </c>
      <c r="F310">
        <v>1313</v>
      </c>
      <c r="G310">
        <v>0.3947</v>
      </c>
      <c r="H310">
        <v>1313</v>
      </c>
      <c r="I310">
        <v>3.9600000000000003E-2</v>
      </c>
      <c r="J310" t="b">
        <v>1</v>
      </c>
    </row>
    <row r="311" spans="1:10" x14ac:dyDescent="0.25">
      <c r="A311" t="s">
        <v>244</v>
      </c>
      <c r="B311">
        <v>2</v>
      </c>
      <c r="C311" t="s">
        <v>62</v>
      </c>
      <c r="D311">
        <v>300</v>
      </c>
      <c r="E311">
        <v>6</v>
      </c>
      <c r="F311">
        <v>1240</v>
      </c>
      <c r="G311">
        <v>0.9466</v>
      </c>
      <c r="H311">
        <v>1240</v>
      </c>
      <c r="I311">
        <v>3.9600000000000003E-2</v>
      </c>
      <c r="J311" t="b">
        <v>1</v>
      </c>
    </row>
    <row r="312" spans="1:10" x14ac:dyDescent="0.25">
      <c r="A312" t="s">
        <v>291</v>
      </c>
      <c r="B312">
        <v>2</v>
      </c>
      <c r="C312" t="s">
        <v>113</v>
      </c>
      <c r="D312">
        <v>700</v>
      </c>
      <c r="E312">
        <v>5</v>
      </c>
      <c r="F312">
        <v>2207</v>
      </c>
      <c r="G312">
        <v>3.5522</v>
      </c>
      <c r="H312">
        <v>2207</v>
      </c>
      <c r="I312">
        <v>3.95E-2</v>
      </c>
      <c r="J312" t="b">
        <v>1</v>
      </c>
    </row>
    <row r="313" spans="1:10" x14ac:dyDescent="0.25">
      <c r="A313" t="s">
        <v>370</v>
      </c>
      <c r="B313">
        <v>3</v>
      </c>
      <c r="C313" t="s">
        <v>62</v>
      </c>
      <c r="D313">
        <v>500</v>
      </c>
      <c r="E313">
        <v>1</v>
      </c>
      <c r="F313">
        <v>2285</v>
      </c>
      <c r="G313">
        <v>7.3490000000000002</v>
      </c>
      <c r="H313">
        <v>2285</v>
      </c>
      <c r="I313">
        <v>3.9399999999999998E-2</v>
      </c>
      <c r="J313" t="b">
        <v>1</v>
      </c>
    </row>
    <row r="314" spans="1:10" x14ac:dyDescent="0.25">
      <c r="A314" t="s">
        <v>198</v>
      </c>
      <c r="B314">
        <v>2</v>
      </c>
      <c r="C314" t="s">
        <v>11</v>
      </c>
      <c r="D314">
        <v>1000</v>
      </c>
      <c r="E314">
        <v>7</v>
      </c>
      <c r="F314">
        <v>2447</v>
      </c>
      <c r="G314">
        <v>7.1829999999999998</v>
      </c>
      <c r="H314">
        <v>2447</v>
      </c>
      <c r="I314">
        <v>3.9300000000000002E-2</v>
      </c>
      <c r="J314" t="b">
        <v>1</v>
      </c>
    </row>
    <row r="315" spans="1:10" x14ac:dyDescent="0.25">
      <c r="A315" t="s">
        <v>200</v>
      </c>
      <c r="B315">
        <v>2</v>
      </c>
      <c r="C315" t="s">
        <v>11</v>
      </c>
      <c r="D315">
        <v>500</v>
      </c>
      <c r="E315">
        <v>7</v>
      </c>
      <c r="F315">
        <v>1691</v>
      </c>
      <c r="G315">
        <v>2.1953</v>
      </c>
      <c r="H315">
        <v>1691</v>
      </c>
      <c r="I315">
        <v>3.9300000000000002E-2</v>
      </c>
      <c r="J315" t="b">
        <v>1</v>
      </c>
    </row>
    <row r="316" spans="1:10" x14ac:dyDescent="0.25">
      <c r="A316" t="s">
        <v>411</v>
      </c>
      <c r="B316">
        <v>3</v>
      </c>
      <c r="C316" t="s">
        <v>62</v>
      </c>
      <c r="D316">
        <v>700</v>
      </c>
      <c r="E316">
        <v>9</v>
      </c>
      <c r="F316">
        <v>3188</v>
      </c>
      <c r="G316">
        <v>22.843499999999999</v>
      </c>
      <c r="H316">
        <v>3188</v>
      </c>
      <c r="I316">
        <v>3.9199999999999999E-2</v>
      </c>
      <c r="J316" t="b">
        <v>1</v>
      </c>
    </row>
    <row r="317" spans="1:10" x14ac:dyDescent="0.25">
      <c r="A317" t="s">
        <v>442</v>
      </c>
      <c r="B317">
        <v>3</v>
      </c>
      <c r="C317" t="s">
        <v>113</v>
      </c>
      <c r="D317">
        <v>800</v>
      </c>
      <c r="E317">
        <v>5</v>
      </c>
      <c r="F317">
        <v>4165</v>
      </c>
      <c r="G317">
        <v>72.716200000000001</v>
      </c>
      <c r="H317">
        <v>4165</v>
      </c>
      <c r="I317">
        <v>3.9199999999999999E-2</v>
      </c>
      <c r="J317" t="b">
        <v>1</v>
      </c>
    </row>
    <row r="318" spans="1:10" x14ac:dyDescent="0.25">
      <c r="A318" t="s">
        <v>276</v>
      </c>
      <c r="B318">
        <v>2</v>
      </c>
      <c r="C318" t="s">
        <v>113</v>
      </c>
      <c r="D318">
        <v>700</v>
      </c>
      <c r="E318">
        <v>2</v>
      </c>
      <c r="F318">
        <v>2237</v>
      </c>
      <c r="G318">
        <v>3.7176999999999998</v>
      </c>
      <c r="H318">
        <v>2237</v>
      </c>
      <c r="I318">
        <v>3.9100000000000003E-2</v>
      </c>
      <c r="J318" t="b">
        <v>1</v>
      </c>
    </row>
    <row r="319" spans="1:10" x14ac:dyDescent="0.25">
      <c r="A319" t="s">
        <v>130</v>
      </c>
      <c r="B319">
        <v>1</v>
      </c>
      <c r="C319" t="s">
        <v>113</v>
      </c>
      <c r="D319">
        <v>500</v>
      </c>
      <c r="E319">
        <v>3</v>
      </c>
      <c r="F319">
        <v>2557</v>
      </c>
      <c r="G319">
        <v>2.1989999999999998</v>
      </c>
      <c r="H319">
        <v>2557</v>
      </c>
      <c r="I319">
        <v>3.9E-2</v>
      </c>
      <c r="J319" t="b">
        <v>1</v>
      </c>
    </row>
    <row r="320" spans="1:10" x14ac:dyDescent="0.25">
      <c r="A320" t="s">
        <v>171</v>
      </c>
      <c r="B320">
        <v>2</v>
      </c>
      <c r="C320" t="s">
        <v>11</v>
      </c>
      <c r="D320">
        <v>700</v>
      </c>
      <c r="E320">
        <v>1</v>
      </c>
      <c r="F320">
        <v>1768</v>
      </c>
      <c r="G320">
        <v>3.5377999999999998</v>
      </c>
      <c r="H320">
        <v>1768</v>
      </c>
      <c r="I320">
        <v>3.9E-2</v>
      </c>
      <c r="J320" t="b">
        <v>1</v>
      </c>
    </row>
    <row r="321" spans="1:10" x14ac:dyDescent="0.25">
      <c r="A321" t="s">
        <v>295</v>
      </c>
      <c r="B321">
        <v>2</v>
      </c>
      <c r="C321" t="s">
        <v>113</v>
      </c>
      <c r="D321">
        <v>500</v>
      </c>
      <c r="E321">
        <v>6</v>
      </c>
      <c r="F321">
        <v>1873</v>
      </c>
      <c r="G321">
        <v>2.1892</v>
      </c>
      <c r="H321">
        <v>1873</v>
      </c>
      <c r="I321">
        <v>3.8800000000000001E-2</v>
      </c>
      <c r="J321" t="b">
        <v>1</v>
      </c>
    </row>
    <row r="322" spans="1:10" x14ac:dyDescent="0.25">
      <c r="A322" t="s">
        <v>271</v>
      </c>
      <c r="B322">
        <v>2</v>
      </c>
      <c r="C322" t="s">
        <v>113</v>
      </c>
      <c r="D322">
        <v>700</v>
      </c>
      <c r="E322">
        <v>1</v>
      </c>
      <c r="F322">
        <v>2349</v>
      </c>
      <c r="G322">
        <v>3.8338999999999999</v>
      </c>
      <c r="H322">
        <v>2349</v>
      </c>
      <c r="I322">
        <v>3.8399999999999997E-2</v>
      </c>
      <c r="J322" t="b">
        <v>1</v>
      </c>
    </row>
    <row r="323" spans="1:10" x14ac:dyDescent="0.25">
      <c r="A323" t="s">
        <v>499</v>
      </c>
      <c r="B323">
        <v>4</v>
      </c>
      <c r="C323" t="s">
        <v>11</v>
      </c>
      <c r="D323">
        <v>300</v>
      </c>
      <c r="E323">
        <v>7</v>
      </c>
      <c r="F323">
        <v>1345</v>
      </c>
      <c r="G323">
        <v>0.79190000000000005</v>
      </c>
      <c r="H323">
        <v>1345</v>
      </c>
      <c r="I323">
        <v>3.8399999999999997E-2</v>
      </c>
      <c r="J323" t="b">
        <v>1</v>
      </c>
    </row>
    <row r="324" spans="1:10" x14ac:dyDescent="0.25">
      <c r="A324" t="s">
        <v>64</v>
      </c>
      <c r="B324">
        <v>1</v>
      </c>
      <c r="C324" t="s">
        <v>62</v>
      </c>
      <c r="D324">
        <v>500</v>
      </c>
      <c r="E324">
        <v>10</v>
      </c>
      <c r="F324">
        <v>2111</v>
      </c>
      <c r="G324">
        <v>2.3344</v>
      </c>
      <c r="H324">
        <v>2111</v>
      </c>
      <c r="I324">
        <v>3.7999999999999999E-2</v>
      </c>
      <c r="J324" t="b">
        <v>1</v>
      </c>
    </row>
    <row r="325" spans="1:10" x14ac:dyDescent="0.25">
      <c r="A325" t="s">
        <v>219</v>
      </c>
      <c r="B325">
        <v>2</v>
      </c>
      <c r="C325" t="s">
        <v>62</v>
      </c>
      <c r="D325">
        <v>300</v>
      </c>
      <c r="E325">
        <v>1</v>
      </c>
      <c r="F325">
        <v>1195</v>
      </c>
      <c r="G325">
        <v>0.8952</v>
      </c>
      <c r="H325">
        <v>1195</v>
      </c>
      <c r="I325">
        <v>3.7600000000000001E-2</v>
      </c>
      <c r="J325" t="b">
        <v>1</v>
      </c>
    </row>
    <row r="326" spans="1:10" x14ac:dyDescent="0.25">
      <c r="A326" t="s">
        <v>310</v>
      </c>
      <c r="B326">
        <v>2</v>
      </c>
      <c r="C326" t="s">
        <v>113</v>
      </c>
      <c r="D326">
        <v>500</v>
      </c>
      <c r="E326">
        <v>9</v>
      </c>
      <c r="F326">
        <v>1893</v>
      </c>
      <c r="G326">
        <v>2.0196999999999998</v>
      </c>
      <c r="H326">
        <v>1893</v>
      </c>
      <c r="I326">
        <v>3.7600000000000001E-2</v>
      </c>
      <c r="J326" t="b">
        <v>1</v>
      </c>
    </row>
    <row r="327" spans="1:10" x14ac:dyDescent="0.25">
      <c r="A327" t="s">
        <v>375</v>
      </c>
      <c r="B327">
        <v>3</v>
      </c>
      <c r="C327" t="s">
        <v>62</v>
      </c>
      <c r="D327">
        <v>500</v>
      </c>
      <c r="E327">
        <v>2</v>
      </c>
      <c r="F327">
        <v>2349</v>
      </c>
      <c r="G327">
        <v>7.6531000000000002</v>
      </c>
      <c r="H327">
        <v>2349</v>
      </c>
      <c r="I327">
        <v>3.7600000000000001E-2</v>
      </c>
      <c r="J327" t="b">
        <v>1</v>
      </c>
    </row>
    <row r="328" spans="1:10" x14ac:dyDescent="0.25">
      <c r="A328" t="s">
        <v>265</v>
      </c>
      <c r="B328">
        <v>2</v>
      </c>
      <c r="C328" t="s">
        <v>113</v>
      </c>
      <c r="D328">
        <v>500</v>
      </c>
      <c r="E328">
        <v>10</v>
      </c>
      <c r="F328">
        <v>2049</v>
      </c>
      <c r="G328">
        <v>2.0998999999999999</v>
      </c>
      <c r="H328">
        <v>2049</v>
      </c>
      <c r="I328">
        <v>3.7499999999999999E-2</v>
      </c>
      <c r="J328" t="b">
        <v>1</v>
      </c>
    </row>
    <row r="329" spans="1:10" x14ac:dyDescent="0.25">
      <c r="A329" t="s">
        <v>185</v>
      </c>
      <c r="B329">
        <v>2</v>
      </c>
      <c r="C329" t="s">
        <v>11</v>
      </c>
      <c r="D329">
        <v>500</v>
      </c>
      <c r="E329">
        <v>4</v>
      </c>
      <c r="F329">
        <v>1558</v>
      </c>
      <c r="G329">
        <v>2.1156000000000001</v>
      </c>
      <c r="H329">
        <v>1558</v>
      </c>
      <c r="I329">
        <v>3.7400000000000003E-2</v>
      </c>
      <c r="J329" t="b">
        <v>1</v>
      </c>
    </row>
    <row r="330" spans="1:10" x14ac:dyDescent="0.25">
      <c r="A330" t="s">
        <v>517</v>
      </c>
      <c r="B330">
        <v>4</v>
      </c>
      <c r="C330" t="s">
        <v>62</v>
      </c>
      <c r="D330">
        <v>800</v>
      </c>
      <c r="E330">
        <v>10</v>
      </c>
      <c r="F330">
        <v>3537</v>
      </c>
      <c r="G330">
        <v>73.840100000000007</v>
      </c>
      <c r="H330">
        <v>3537</v>
      </c>
      <c r="I330">
        <v>3.7400000000000003E-2</v>
      </c>
      <c r="J330" t="b">
        <v>1</v>
      </c>
    </row>
    <row r="331" spans="1:10" x14ac:dyDescent="0.25">
      <c r="A331" t="s">
        <v>167</v>
      </c>
      <c r="B331">
        <v>2</v>
      </c>
      <c r="C331" t="s">
        <v>11</v>
      </c>
      <c r="D331">
        <v>800</v>
      </c>
      <c r="E331">
        <v>10</v>
      </c>
      <c r="F331">
        <v>2250</v>
      </c>
      <c r="G331">
        <v>3.7275</v>
      </c>
      <c r="H331">
        <v>2250</v>
      </c>
      <c r="I331">
        <v>3.6999999999999998E-2</v>
      </c>
      <c r="J331" t="b">
        <v>1</v>
      </c>
    </row>
    <row r="332" spans="1:10" x14ac:dyDescent="0.25">
      <c r="A332" t="s">
        <v>274</v>
      </c>
      <c r="B332">
        <v>2</v>
      </c>
      <c r="C332" t="s">
        <v>113</v>
      </c>
      <c r="D332">
        <v>300</v>
      </c>
      <c r="E332">
        <v>2</v>
      </c>
      <c r="F332">
        <v>1400</v>
      </c>
      <c r="G332">
        <v>0.84870000000000001</v>
      </c>
      <c r="H332">
        <v>1400</v>
      </c>
      <c r="I332">
        <v>3.6999999999999998E-2</v>
      </c>
      <c r="J332" t="b">
        <v>1</v>
      </c>
    </row>
    <row r="333" spans="1:10" x14ac:dyDescent="0.25">
      <c r="A333" t="s">
        <v>323</v>
      </c>
      <c r="B333">
        <v>3</v>
      </c>
      <c r="C333" t="s">
        <v>11</v>
      </c>
      <c r="D333">
        <v>1000</v>
      </c>
      <c r="E333">
        <v>2</v>
      </c>
      <c r="F333">
        <v>4410</v>
      </c>
      <c r="G333">
        <v>179.4152</v>
      </c>
      <c r="H333">
        <v>4410</v>
      </c>
      <c r="I333">
        <v>3.6999999999999998E-2</v>
      </c>
      <c r="J333" t="b">
        <v>1</v>
      </c>
    </row>
    <row r="334" spans="1:10" x14ac:dyDescent="0.25">
      <c r="A334" t="s">
        <v>420</v>
      </c>
      <c r="B334">
        <v>3</v>
      </c>
      <c r="C334" t="s">
        <v>113</v>
      </c>
      <c r="D334">
        <v>500</v>
      </c>
      <c r="E334">
        <v>1</v>
      </c>
      <c r="F334">
        <v>2695</v>
      </c>
      <c r="G334">
        <v>5.7680999999999996</v>
      </c>
      <c r="H334">
        <v>2695</v>
      </c>
      <c r="I334">
        <v>3.6999999999999998E-2</v>
      </c>
      <c r="J334" t="b">
        <v>1</v>
      </c>
    </row>
    <row r="335" spans="1:10" x14ac:dyDescent="0.25">
      <c r="A335" t="s">
        <v>433</v>
      </c>
      <c r="B335">
        <v>3</v>
      </c>
      <c r="C335" t="s">
        <v>113</v>
      </c>
      <c r="D335">
        <v>1000</v>
      </c>
      <c r="E335">
        <v>4</v>
      </c>
      <c r="F335">
        <v>5448</v>
      </c>
      <c r="G335">
        <v>154.8603</v>
      </c>
      <c r="H335">
        <v>5448</v>
      </c>
      <c r="I335">
        <v>3.6999999999999998E-2</v>
      </c>
      <c r="J335" t="b">
        <v>1</v>
      </c>
    </row>
    <row r="336" spans="1:10" x14ac:dyDescent="0.25">
      <c r="A336" t="s">
        <v>438</v>
      </c>
      <c r="B336">
        <v>3</v>
      </c>
      <c r="C336" t="s">
        <v>113</v>
      </c>
      <c r="D336">
        <v>1000</v>
      </c>
      <c r="E336">
        <v>5</v>
      </c>
      <c r="F336">
        <v>5210</v>
      </c>
      <c r="G336">
        <v>164.29220000000001</v>
      </c>
      <c r="H336">
        <v>5210</v>
      </c>
      <c r="I336">
        <v>3.6999999999999998E-2</v>
      </c>
      <c r="J336" t="b">
        <v>1</v>
      </c>
    </row>
    <row r="337" spans="1:10" x14ac:dyDescent="0.25">
      <c r="A337" t="s">
        <v>518</v>
      </c>
      <c r="B337">
        <v>4</v>
      </c>
      <c r="C337" t="s">
        <v>62</v>
      </c>
      <c r="D337">
        <v>1000</v>
      </c>
      <c r="E337">
        <v>1</v>
      </c>
      <c r="F337">
        <v>4553</v>
      </c>
      <c r="G337">
        <v>133.19909999999999</v>
      </c>
      <c r="H337">
        <v>4553</v>
      </c>
      <c r="I337">
        <v>3.6999999999999998E-2</v>
      </c>
      <c r="J337" t="b">
        <v>1</v>
      </c>
    </row>
    <row r="338" spans="1:10" x14ac:dyDescent="0.25">
      <c r="A338" t="s">
        <v>243</v>
      </c>
      <c r="B338">
        <v>2</v>
      </c>
      <c r="C338" t="s">
        <v>62</v>
      </c>
      <c r="D338">
        <v>1000</v>
      </c>
      <c r="E338">
        <v>6</v>
      </c>
      <c r="F338">
        <v>2715</v>
      </c>
      <c r="G338">
        <v>7.8052000000000001</v>
      </c>
      <c r="H338">
        <v>2715</v>
      </c>
      <c r="I338">
        <v>3.6700000000000003E-2</v>
      </c>
      <c r="J338" t="b">
        <v>1</v>
      </c>
    </row>
    <row r="339" spans="1:10" x14ac:dyDescent="0.25">
      <c r="A339" t="s">
        <v>290</v>
      </c>
      <c r="B339">
        <v>2</v>
      </c>
      <c r="C339" t="s">
        <v>113</v>
      </c>
      <c r="D339">
        <v>500</v>
      </c>
      <c r="E339">
        <v>5</v>
      </c>
      <c r="F339">
        <v>1980</v>
      </c>
      <c r="G339">
        <v>2.0716000000000001</v>
      </c>
      <c r="H339">
        <v>1980</v>
      </c>
      <c r="I339">
        <v>3.6600000000000001E-2</v>
      </c>
      <c r="J339" t="b">
        <v>1</v>
      </c>
    </row>
    <row r="340" spans="1:10" x14ac:dyDescent="0.25">
      <c r="A340" t="s">
        <v>534</v>
      </c>
      <c r="B340">
        <v>4</v>
      </c>
      <c r="C340" t="s">
        <v>62</v>
      </c>
      <c r="D340">
        <v>300</v>
      </c>
      <c r="E340">
        <v>4</v>
      </c>
      <c r="F340">
        <v>1315</v>
      </c>
      <c r="G340">
        <v>0.72460000000000002</v>
      </c>
      <c r="H340">
        <v>1315</v>
      </c>
      <c r="I340">
        <v>3.6600000000000001E-2</v>
      </c>
      <c r="J340" t="b">
        <v>1</v>
      </c>
    </row>
    <row r="341" spans="1:10" x14ac:dyDescent="0.25">
      <c r="A341" t="s">
        <v>183</v>
      </c>
      <c r="B341">
        <v>2</v>
      </c>
      <c r="C341" t="s">
        <v>11</v>
      </c>
      <c r="D341">
        <v>1000</v>
      </c>
      <c r="E341">
        <v>4</v>
      </c>
      <c r="F341">
        <v>2235</v>
      </c>
      <c r="G341">
        <v>7.2256999999999998</v>
      </c>
      <c r="H341">
        <v>2235</v>
      </c>
      <c r="I341">
        <v>3.6400000000000002E-2</v>
      </c>
      <c r="J341" t="b">
        <v>1</v>
      </c>
    </row>
    <row r="342" spans="1:10" x14ac:dyDescent="0.25">
      <c r="A342" t="s">
        <v>209</v>
      </c>
      <c r="B342">
        <v>2</v>
      </c>
      <c r="C342" t="s">
        <v>11</v>
      </c>
      <c r="D342">
        <v>300</v>
      </c>
      <c r="E342">
        <v>9</v>
      </c>
      <c r="F342">
        <v>1168</v>
      </c>
      <c r="G342">
        <v>0.83579999999999999</v>
      </c>
      <c r="H342">
        <v>1168</v>
      </c>
      <c r="I342">
        <v>3.6400000000000002E-2</v>
      </c>
      <c r="J342" t="b">
        <v>1</v>
      </c>
    </row>
    <row r="343" spans="1:10" x14ac:dyDescent="0.25">
      <c r="A343" t="s">
        <v>385</v>
      </c>
      <c r="B343">
        <v>3</v>
      </c>
      <c r="C343" t="s">
        <v>62</v>
      </c>
      <c r="D343">
        <v>500</v>
      </c>
      <c r="E343">
        <v>4</v>
      </c>
      <c r="F343">
        <v>2235</v>
      </c>
      <c r="G343">
        <v>8.2071000000000005</v>
      </c>
      <c r="H343">
        <v>2235</v>
      </c>
      <c r="I343">
        <v>3.6400000000000002E-2</v>
      </c>
      <c r="J343" t="b">
        <v>1</v>
      </c>
    </row>
    <row r="344" spans="1:10" x14ac:dyDescent="0.25">
      <c r="A344" t="s">
        <v>83</v>
      </c>
      <c r="B344">
        <v>1</v>
      </c>
      <c r="C344" t="s">
        <v>62</v>
      </c>
      <c r="D344">
        <v>300</v>
      </c>
      <c r="E344">
        <v>4</v>
      </c>
      <c r="F344">
        <v>1295</v>
      </c>
      <c r="G344">
        <v>0.46539999999999998</v>
      </c>
      <c r="H344">
        <v>1295</v>
      </c>
      <c r="I344">
        <v>3.6299999999999999E-2</v>
      </c>
      <c r="J344" t="b">
        <v>1</v>
      </c>
    </row>
    <row r="345" spans="1:10" x14ac:dyDescent="0.25">
      <c r="A345" t="s">
        <v>448</v>
      </c>
      <c r="B345">
        <v>3</v>
      </c>
      <c r="C345" t="s">
        <v>113</v>
      </c>
      <c r="D345">
        <v>1000</v>
      </c>
      <c r="E345">
        <v>7</v>
      </c>
      <c r="F345">
        <v>5474</v>
      </c>
      <c r="G345">
        <v>166.12649999999999</v>
      </c>
      <c r="H345">
        <v>5474</v>
      </c>
      <c r="I345">
        <v>3.6299999999999999E-2</v>
      </c>
      <c r="J345" t="b">
        <v>1</v>
      </c>
    </row>
    <row r="346" spans="1:10" x14ac:dyDescent="0.25">
      <c r="A346" t="s">
        <v>348</v>
      </c>
      <c r="B346">
        <v>3</v>
      </c>
      <c r="C346" t="s">
        <v>11</v>
      </c>
      <c r="D346">
        <v>1000</v>
      </c>
      <c r="E346">
        <v>7</v>
      </c>
      <c r="F346">
        <v>4528</v>
      </c>
      <c r="G346">
        <v>159.59700000000001</v>
      </c>
      <c r="H346">
        <v>4528</v>
      </c>
      <c r="I346">
        <v>3.61E-2</v>
      </c>
      <c r="J346" t="b">
        <v>1</v>
      </c>
    </row>
    <row r="347" spans="1:10" x14ac:dyDescent="0.25">
      <c r="A347" t="s">
        <v>174</v>
      </c>
      <c r="B347">
        <v>2</v>
      </c>
      <c r="C347" t="s">
        <v>11</v>
      </c>
      <c r="D347">
        <v>300</v>
      </c>
      <c r="E347">
        <v>2</v>
      </c>
      <c r="F347">
        <v>1230</v>
      </c>
      <c r="G347">
        <v>0.89980000000000004</v>
      </c>
      <c r="H347">
        <v>1230</v>
      </c>
      <c r="I347">
        <v>3.5999999999999997E-2</v>
      </c>
      <c r="J347" t="b">
        <v>1</v>
      </c>
    </row>
    <row r="348" spans="1:10" x14ac:dyDescent="0.25">
      <c r="A348" t="s">
        <v>346</v>
      </c>
      <c r="B348">
        <v>3</v>
      </c>
      <c r="C348" t="s">
        <v>11</v>
      </c>
      <c r="D348">
        <v>700</v>
      </c>
      <c r="E348">
        <v>6</v>
      </c>
      <c r="F348">
        <v>3105</v>
      </c>
      <c r="G348">
        <v>25.507000000000001</v>
      </c>
      <c r="H348">
        <v>3105</v>
      </c>
      <c r="I348">
        <v>3.5999999999999997E-2</v>
      </c>
      <c r="J348" t="b">
        <v>1</v>
      </c>
    </row>
    <row r="349" spans="1:10" x14ac:dyDescent="0.25">
      <c r="A349" t="s">
        <v>428</v>
      </c>
      <c r="B349">
        <v>3</v>
      </c>
      <c r="C349" t="s">
        <v>113</v>
      </c>
      <c r="D349">
        <v>1000</v>
      </c>
      <c r="E349">
        <v>3</v>
      </c>
      <c r="F349">
        <v>5570</v>
      </c>
      <c r="G349">
        <v>158.1703</v>
      </c>
      <c r="H349">
        <v>5570</v>
      </c>
      <c r="I349">
        <v>3.5999999999999997E-2</v>
      </c>
      <c r="J349" t="b">
        <v>1</v>
      </c>
    </row>
    <row r="350" spans="1:10" x14ac:dyDescent="0.25">
      <c r="A350" t="s">
        <v>443</v>
      </c>
      <c r="B350">
        <v>3</v>
      </c>
      <c r="C350" t="s">
        <v>113</v>
      </c>
      <c r="D350">
        <v>1000</v>
      </c>
      <c r="E350">
        <v>6</v>
      </c>
      <c r="F350">
        <v>5477</v>
      </c>
      <c r="G350">
        <v>148.54220000000001</v>
      </c>
      <c r="H350">
        <v>5477</v>
      </c>
      <c r="I350">
        <v>3.5999999999999997E-2</v>
      </c>
      <c r="J350" t="b">
        <v>1</v>
      </c>
    </row>
    <row r="351" spans="1:10" x14ac:dyDescent="0.25">
      <c r="A351" t="s">
        <v>37</v>
      </c>
      <c r="B351">
        <v>1</v>
      </c>
      <c r="C351" t="s">
        <v>11</v>
      </c>
      <c r="D351">
        <v>300</v>
      </c>
      <c r="E351">
        <v>5</v>
      </c>
      <c r="F351">
        <v>1291</v>
      </c>
      <c r="G351">
        <v>0.54520000000000002</v>
      </c>
      <c r="H351">
        <v>1291</v>
      </c>
      <c r="I351">
        <v>3.5900000000000001E-2</v>
      </c>
      <c r="J351" t="b">
        <v>1</v>
      </c>
    </row>
    <row r="352" spans="1:10" x14ac:dyDescent="0.25">
      <c r="A352" t="s">
        <v>194</v>
      </c>
      <c r="B352">
        <v>2</v>
      </c>
      <c r="C352" t="s">
        <v>11</v>
      </c>
      <c r="D352">
        <v>300</v>
      </c>
      <c r="E352">
        <v>6</v>
      </c>
      <c r="F352">
        <v>1226</v>
      </c>
      <c r="G352">
        <v>0.8014</v>
      </c>
      <c r="H352">
        <v>1226</v>
      </c>
      <c r="I352">
        <v>3.5499999999999997E-2</v>
      </c>
      <c r="J352" t="b">
        <v>1</v>
      </c>
    </row>
    <row r="353" spans="1:10" x14ac:dyDescent="0.25">
      <c r="A353" t="s">
        <v>508</v>
      </c>
      <c r="B353">
        <v>4</v>
      </c>
      <c r="C353" t="s">
        <v>11</v>
      </c>
      <c r="D353">
        <v>1000</v>
      </c>
      <c r="E353">
        <v>9</v>
      </c>
      <c r="F353">
        <v>4490</v>
      </c>
      <c r="G353">
        <v>132.05170000000001</v>
      </c>
      <c r="H353">
        <v>4490</v>
      </c>
      <c r="I353">
        <v>3.5400000000000001E-2</v>
      </c>
      <c r="J353" t="b">
        <v>1</v>
      </c>
    </row>
    <row r="354" spans="1:10" x14ac:dyDescent="0.25">
      <c r="A354" t="s">
        <v>536</v>
      </c>
      <c r="B354">
        <v>4</v>
      </c>
      <c r="C354" t="s">
        <v>62</v>
      </c>
      <c r="D354">
        <v>700</v>
      </c>
      <c r="E354">
        <v>4</v>
      </c>
      <c r="F354">
        <v>3240</v>
      </c>
      <c r="G354">
        <v>23.489899999999999</v>
      </c>
      <c r="H354">
        <v>3240</v>
      </c>
      <c r="I354">
        <v>3.5299999999999998E-2</v>
      </c>
      <c r="J354" t="b">
        <v>1</v>
      </c>
    </row>
    <row r="355" spans="1:10" x14ac:dyDescent="0.25">
      <c r="A355" t="s">
        <v>531</v>
      </c>
      <c r="B355">
        <v>4</v>
      </c>
      <c r="C355" t="s">
        <v>62</v>
      </c>
      <c r="D355">
        <v>700</v>
      </c>
      <c r="E355">
        <v>3</v>
      </c>
      <c r="F355">
        <v>3173</v>
      </c>
      <c r="G355">
        <v>22.891300000000001</v>
      </c>
      <c r="H355">
        <v>3173</v>
      </c>
      <c r="I355">
        <v>3.5200000000000002E-2</v>
      </c>
      <c r="J355" t="b">
        <v>1</v>
      </c>
    </row>
    <row r="356" spans="1:10" x14ac:dyDescent="0.25">
      <c r="A356" t="s">
        <v>314</v>
      </c>
      <c r="B356">
        <v>3</v>
      </c>
      <c r="C356" t="s">
        <v>11</v>
      </c>
      <c r="D356">
        <v>300</v>
      </c>
      <c r="E356">
        <v>10</v>
      </c>
      <c r="F356">
        <v>1375</v>
      </c>
      <c r="G356">
        <v>0.42820000000000003</v>
      </c>
      <c r="H356">
        <v>1375</v>
      </c>
      <c r="I356">
        <v>3.5099999999999999E-2</v>
      </c>
      <c r="J356" t="b">
        <v>1</v>
      </c>
    </row>
    <row r="357" spans="1:10" x14ac:dyDescent="0.25">
      <c r="A357" t="s">
        <v>597</v>
      </c>
      <c r="B357">
        <v>4</v>
      </c>
      <c r="C357" t="s">
        <v>113</v>
      </c>
      <c r="D357">
        <v>800</v>
      </c>
      <c r="E357">
        <v>6</v>
      </c>
      <c r="F357">
        <v>4264</v>
      </c>
      <c r="G357">
        <v>70.642799999999994</v>
      </c>
      <c r="H357">
        <v>4264</v>
      </c>
      <c r="I357">
        <v>3.5099999999999999E-2</v>
      </c>
      <c r="J357" t="b">
        <v>1</v>
      </c>
    </row>
    <row r="358" spans="1:10" x14ac:dyDescent="0.25">
      <c r="A358" t="s">
        <v>458</v>
      </c>
      <c r="B358">
        <v>3</v>
      </c>
      <c r="C358" t="s">
        <v>113</v>
      </c>
      <c r="D358">
        <v>1000</v>
      </c>
      <c r="E358">
        <v>9</v>
      </c>
      <c r="F358">
        <v>5359</v>
      </c>
      <c r="G358">
        <v>149.63800000000001</v>
      </c>
      <c r="H358">
        <v>5359</v>
      </c>
      <c r="I358">
        <v>3.5000000000000003E-2</v>
      </c>
      <c r="J358" t="b">
        <v>1</v>
      </c>
    </row>
    <row r="359" spans="1:10" x14ac:dyDescent="0.25">
      <c r="A359" t="s">
        <v>189</v>
      </c>
      <c r="B359">
        <v>2</v>
      </c>
      <c r="C359" t="s">
        <v>11</v>
      </c>
      <c r="D359">
        <v>300</v>
      </c>
      <c r="E359">
        <v>5</v>
      </c>
      <c r="F359">
        <v>1219</v>
      </c>
      <c r="G359">
        <v>0.76470000000000005</v>
      </c>
      <c r="H359">
        <v>1219</v>
      </c>
      <c r="I359">
        <v>3.44E-2</v>
      </c>
      <c r="J359" t="b">
        <v>1</v>
      </c>
    </row>
    <row r="360" spans="1:10" x14ac:dyDescent="0.25">
      <c r="A360" t="s">
        <v>213</v>
      </c>
      <c r="B360">
        <v>2</v>
      </c>
      <c r="C360" t="s">
        <v>62</v>
      </c>
      <c r="D360">
        <v>1000</v>
      </c>
      <c r="E360">
        <v>10</v>
      </c>
      <c r="F360">
        <v>2721</v>
      </c>
      <c r="G360">
        <v>7.8089000000000004</v>
      </c>
      <c r="H360">
        <v>2721</v>
      </c>
      <c r="I360">
        <v>3.44E-2</v>
      </c>
      <c r="J360" t="b">
        <v>1</v>
      </c>
    </row>
    <row r="361" spans="1:10" x14ac:dyDescent="0.25">
      <c r="A361" t="s">
        <v>404</v>
      </c>
      <c r="B361">
        <v>3</v>
      </c>
      <c r="C361" t="s">
        <v>62</v>
      </c>
      <c r="D361">
        <v>300</v>
      </c>
      <c r="E361">
        <v>8</v>
      </c>
      <c r="F361">
        <v>1330</v>
      </c>
      <c r="G361">
        <v>0.39250000000000002</v>
      </c>
      <c r="H361">
        <v>1330</v>
      </c>
      <c r="I361">
        <v>3.44E-2</v>
      </c>
      <c r="J361" t="b">
        <v>1</v>
      </c>
    </row>
    <row r="362" spans="1:10" x14ac:dyDescent="0.25">
      <c r="A362" t="s">
        <v>417</v>
      </c>
      <c r="B362">
        <v>3</v>
      </c>
      <c r="C362" t="s">
        <v>113</v>
      </c>
      <c r="D362">
        <v>800</v>
      </c>
      <c r="E362">
        <v>10</v>
      </c>
      <c r="F362">
        <v>4347</v>
      </c>
      <c r="G362">
        <v>68.857900000000001</v>
      </c>
      <c r="H362">
        <v>4347</v>
      </c>
      <c r="I362">
        <v>3.44E-2</v>
      </c>
      <c r="J362" t="b">
        <v>1</v>
      </c>
    </row>
    <row r="363" spans="1:10" x14ac:dyDescent="0.25">
      <c r="A363" t="s">
        <v>384</v>
      </c>
      <c r="B363">
        <v>3</v>
      </c>
      <c r="C363" t="s">
        <v>62</v>
      </c>
      <c r="D363">
        <v>300</v>
      </c>
      <c r="E363">
        <v>4</v>
      </c>
      <c r="F363">
        <v>1315</v>
      </c>
      <c r="G363">
        <v>0.47899999999999998</v>
      </c>
      <c r="H363">
        <v>1315</v>
      </c>
      <c r="I363">
        <v>3.4299999999999997E-2</v>
      </c>
      <c r="J363" t="b">
        <v>1</v>
      </c>
    </row>
    <row r="364" spans="1:10" x14ac:dyDescent="0.25">
      <c r="A364" t="s">
        <v>182</v>
      </c>
      <c r="B364">
        <v>2</v>
      </c>
      <c r="C364" t="s">
        <v>11</v>
      </c>
      <c r="D364">
        <v>800</v>
      </c>
      <c r="E364">
        <v>3</v>
      </c>
      <c r="F364">
        <v>2225</v>
      </c>
      <c r="G364">
        <v>4.7778999999999998</v>
      </c>
      <c r="H364">
        <v>2225</v>
      </c>
      <c r="I364">
        <v>3.4000000000000002E-2</v>
      </c>
      <c r="J364" t="b">
        <v>1</v>
      </c>
    </row>
    <row r="365" spans="1:10" x14ac:dyDescent="0.25">
      <c r="A365" t="s">
        <v>205</v>
      </c>
      <c r="B365">
        <v>2</v>
      </c>
      <c r="C365" t="s">
        <v>11</v>
      </c>
      <c r="D365">
        <v>500</v>
      </c>
      <c r="E365">
        <v>8</v>
      </c>
      <c r="F365">
        <v>1613</v>
      </c>
      <c r="G365">
        <v>2.5297999999999998</v>
      </c>
      <c r="H365">
        <v>1613</v>
      </c>
      <c r="I365">
        <v>3.4000000000000002E-2</v>
      </c>
      <c r="J365" t="b">
        <v>1</v>
      </c>
    </row>
    <row r="366" spans="1:10" x14ac:dyDescent="0.25">
      <c r="A366" t="s">
        <v>230</v>
      </c>
      <c r="B366">
        <v>2</v>
      </c>
      <c r="C366" t="s">
        <v>62</v>
      </c>
      <c r="D366">
        <v>500</v>
      </c>
      <c r="E366">
        <v>3</v>
      </c>
      <c r="F366">
        <v>1668</v>
      </c>
      <c r="G366">
        <v>2.6074000000000002</v>
      </c>
      <c r="H366">
        <v>1668</v>
      </c>
      <c r="I366">
        <v>3.4000000000000002E-2</v>
      </c>
      <c r="J366" t="b">
        <v>1</v>
      </c>
    </row>
    <row r="367" spans="1:10" x14ac:dyDescent="0.25">
      <c r="A367" t="s">
        <v>236</v>
      </c>
      <c r="B367">
        <v>2</v>
      </c>
      <c r="C367" t="s">
        <v>62</v>
      </c>
      <c r="D367">
        <v>700</v>
      </c>
      <c r="E367">
        <v>4</v>
      </c>
      <c r="F367">
        <v>2186</v>
      </c>
      <c r="G367">
        <v>3.7938000000000001</v>
      </c>
      <c r="H367">
        <v>2186</v>
      </c>
      <c r="I367">
        <v>3.4000000000000002E-2</v>
      </c>
      <c r="J367" t="b">
        <v>1</v>
      </c>
    </row>
    <row r="368" spans="1:10" x14ac:dyDescent="0.25">
      <c r="A368" t="s">
        <v>254</v>
      </c>
      <c r="B368">
        <v>2</v>
      </c>
      <c r="C368" t="s">
        <v>62</v>
      </c>
      <c r="D368">
        <v>300</v>
      </c>
      <c r="E368">
        <v>8</v>
      </c>
      <c r="F368">
        <v>1190</v>
      </c>
      <c r="G368">
        <v>0.83909999999999996</v>
      </c>
      <c r="H368">
        <v>1190</v>
      </c>
      <c r="I368">
        <v>3.4000000000000002E-2</v>
      </c>
      <c r="J368" t="b">
        <v>1</v>
      </c>
    </row>
    <row r="369" spans="1:10" x14ac:dyDescent="0.25">
      <c r="A369" t="s">
        <v>423</v>
      </c>
      <c r="B369">
        <v>3</v>
      </c>
      <c r="C369" t="s">
        <v>113</v>
      </c>
      <c r="D369">
        <v>1000</v>
      </c>
      <c r="E369">
        <v>2</v>
      </c>
      <c r="F369">
        <v>5233</v>
      </c>
      <c r="G369">
        <v>140.25640000000001</v>
      </c>
      <c r="H369">
        <v>5233</v>
      </c>
      <c r="I369">
        <v>3.4000000000000002E-2</v>
      </c>
      <c r="J369" t="b">
        <v>1</v>
      </c>
    </row>
    <row r="370" spans="1:10" x14ac:dyDescent="0.25">
      <c r="A370" t="s">
        <v>229</v>
      </c>
      <c r="B370">
        <v>2</v>
      </c>
      <c r="C370" t="s">
        <v>62</v>
      </c>
      <c r="D370">
        <v>300</v>
      </c>
      <c r="E370">
        <v>3</v>
      </c>
      <c r="F370">
        <v>1198</v>
      </c>
      <c r="G370">
        <v>1.1568000000000001</v>
      </c>
      <c r="H370">
        <v>1198</v>
      </c>
      <c r="I370">
        <v>3.3599999999999998E-2</v>
      </c>
      <c r="J370" t="b">
        <v>1</v>
      </c>
    </row>
    <row r="371" spans="1:10" x14ac:dyDescent="0.25">
      <c r="A371" t="s">
        <v>593</v>
      </c>
      <c r="B371">
        <v>4</v>
      </c>
      <c r="C371" t="s">
        <v>113</v>
      </c>
      <c r="D371">
        <v>1000</v>
      </c>
      <c r="E371">
        <v>6</v>
      </c>
      <c r="F371">
        <v>5511</v>
      </c>
      <c r="G371">
        <v>152.34960000000001</v>
      </c>
      <c r="H371">
        <v>5511</v>
      </c>
      <c r="I371">
        <v>3.3599999999999998E-2</v>
      </c>
      <c r="J371" t="b">
        <v>1</v>
      </c>
    </row>
    <row r="372" spans="1:10" x14ac:dyDescent="0.25">
      <c r="A372" t="s">
        <v>227</v>
      </c>
      <c r="B372">
        <v>2</v>
      </c>
      <c r="C372" t="s">
        <v>62</v>
      </c>
      <c r="D372">
        <v>800</v>
      </c>
      <c r="E372">
        <v>2</v>
      </c>
      <c r="F372">
        <v>2236</v>
      </c>
      <c r="G372">
        <v>4.2050999999999998</v>
      </c>
      <c r="H372">
        <v>2236</v>
      </c>
      <c r="I372">
        <v>3.3500000000000002E-2</v>
      </c>
      <c r="J372" t="b">
        <v>1</v>
      </c>
    </row>
    <row r="373" spans="1:10" x14ac:dyDescent="0.25">
      <c r="A373" t="s">
        <v>556</v>
      </c>
      <c r="B373">
        <v>4</v>
      </c>
      <c r="C373" t="s">
        <v>62</v>
      </c>
      <c r="D373">
        <v>700</v>
      </c>
      <c r="E373">
        <v>8</v>
      </c>
      <c r="F373">
        <v>3225</v>
      </c>
      <c r="G373">
        <v>22.158899999999999</v>
      </c>
      <c r="H373">
        <v>3225</v>
      </c>
      <c r="I373">
        <v>3.3399999999999999E-2</v>
      </c>
      <c r="J373" t="b">
        <v>1</v>
      </c>
    </row>
    <row r="374" spans="1:10" x14ac:dyDescent="0.25">
      <c r="A374" t="s">
        <v>57</v>
      </c>
      <c r="B374">
        <v>1</v>
      </c>
      <c r="C374" t="s">
        <v>11</v>
      </c>
      <c r="D374">
        <v>300</v>
      </c>
      <c r="E374">
        <v>9</v>
      </c>
      <c r="F374">
        <v>1285</v>
      </c>
      <c r="G374">
        <v>0.38479999999999998</v>
      </c>
      <c r="H374">
        <v>1285</v>
      </c>
      <c r="I374">
        <v>3.3300000000000003E-2</v>
      </c>
      <c r="J374" t="b">
        <v>1</v>
      </c>
    </row>
    <row r="375" spans="1:10" x14ac:dyDescent="0.25">
      <c r="A375" t="s">
        <v>246</v>
      </c>
      <c r="B375">
        <v>2</v>
      </c>
      <c r="C375" t="s">
        <v>62</v>
      </c>
      <c r="D375">
        <v>700</v>
      </c>
      <c r="E375">
        <v>6</v>
      </c>
      <c r="F375">
        <v>2179</v>
      </c>
      <c r="G375">
        <v>4.2586000000000004</v>
      </c>
      <c r="H375">
        <v>2179</v>
      </c>
      <c r="I375">
        <v>3.32E-2</v>
      </c>
      <c r="J375" t="b">
        <v>1</v>
      </c>
    </row>
    <row r="376" spans="1:10" x14ac:dyDescent="0.25">
      <c r="A376" t="s">
        <v>285</v>
      </c>
      <c r="B376">
        <v>2</v>
      </c>
      <c r="C376" t="s">
        <v>113</v>
      </c>
      <c r="D376">
        <v>500</v>
      </c>
      <c r="E376">
        <v>4</v>
      </c>
      <c r="F376">
        <v>1806</v>
      </c>
      <c r="G376">
        <v>2.2016</v>
      </c>
      <c r="H376">
        <v>1806</v>
      </c>
      <c r="I376">
        <v>3.3000000000000002E-2</v>
      </c>
      <c r="J376" t="b">
        <v>1</v>
      </c>
    </row>
    <row r="377" spans="1:10" x14ac:dyDescent="0.25">
      <c r="A377" t="s">
        <v>471</v>
      </c>
      <c r="B377">
        <v>4</v>
      </c>
      <c r="C377" t="s">
        <v>11</v>
      </c>
      <c r="D377">
        <v>700</v>
      </c>
      <c r="E377">
        <v>1</v>
      </c>
      <c r="F377">
        <v>3125</v>
      </c>
      <c r="G377">
        <v>23.9</v>
      </c>
      <c r="H377">
        <v>3125</v>
      </c>
      <c r="I377">
        <v>3.3000000000000002E-2</v>
      </c>
      <c r="J377" t="b">
        <v>1</v>
      </c>
    </row>
    <row r="378" spans="1:10" x14ac:dyDescent="0.25">
      <c r="A378" t="s">
        <v>259</v>
      </c>
      <c r="B378">
        <v>2</v>
      </c>
      <c r="C378" t="s">
        <v>62</v>
      </c>
      <c r="D378">
        <v>300</v>
      </c>
      <c r="E378">
        <v>9</v>
      </c>
      <c r="F378">
        <v>1159</v>
      </c>
      <c r="G378">
        <v>0.84379999999999999</v>
      </c>
      <c r="H378">
        <v>1159</v>
      </c>
      <c r="I378">
        <v>3.2899999999999999E-2</v>
      </c>
      <c r="J378" t="b">
        <v>1</v>
      </c>
    </row>
    <row r="379" spans="1:10" x14ac:dyDescent="0.25">
      <c r="A379" t="s">
        <v>409</v>
      </c>
      <c r="B379">
        <v>3</v>
      </c>
      <c r="C379" t="s">
        <v>62</v>
      </c>
      <c r="D379">
        <v>300</v>
      </c>
      <c r="E379">
        <v>9</v>
      </c>
      <c r="F379">
        <v>1307</v>
      </c>
      <c r="G379">
        <v>0.37140000000000001</v>
      </c>
      <c r="H379">
        <v>1307</v>
      </c>
      <c r="I379">
        <v>3.27E-2</v>
      </c>
      <c r="J379" t="b">
        <v>1</v>
      </c>
    </row>
    <row r="380" spans="1:10" x14ac:dyDescent="0.25">
      <c r="A380" t="s">
        <v>163</v>
      </c>
      <c r="B380">
        <v>2</v>
      </c>
      <c r="C380" t="s">
        <v>11</v>
      </c>
      <c r="D380">
        <v>1000</v>
      </c>
      <c r="E380">
        <v>10</v>
      </c>
      <c r="F380">
        <v>1962</v>
      </c>
      <c r="G380">
        <v>6.8647999999999998</v>
      </c>
      <c r="H380">
        <v>1962</v>
      </c>
      <c r="I380">
        <v>3.2599999999999997E-2</v>
      </c>
      <c r="J380" t="b">
        <v>1</v>
      </c>
    </row>
    <row r="381" spans="1:10" x14ac:dyDescent="0.25">
      <c r="A381" t="s">
        <v>199</v>
      </c>
      <c r="B381">
        <v>2</v>
      </c>
      <c r="C381" t="s">
        <v>11</v>
      </c>
      <c r="D381">
        <v>300</v>
      </c>
      <c r="E381">
        <v>7</v>
      </c>
      <c r="F381">
        <v>1254</v>
      </c>
      <c r="G381">
        <v>0.81310000000000004</v>
      </c>
      <c r="H381">
        <v>1254</v>
      </c>
      <c r="I381">
        <v>3.2500000000000001E-2</v>
      </c>
      <c r="J381" t="b">
        <v>1</v>
      </c>
    </row>
    <row r="382" spans="1:10" x14ac:dyDescent="0.25">
      <c r="A382" t="s">
        <v>542</v>
      </c>
      <c r="B382">
        <v>4</v>
      </c>
      <c r="C382" t="s">
        <v>62</v>
      </c>
      <c r="D382">
        <v>800</v>
      </c>
      <c r="E382">
        <v>5</v>
      </c>
      <c r="F382">
        <v>3666</v>
      </c>
      <c r="G382">
        <v>64.945099999999996</v>
      </c>
      <c r="H382">
        <v>3666</v>
      </c>
      <c r="I382">
        <v>3.2500000000000001E-2</v>
      </c>
      <c r="J382" t="b">
        <v>1</v>
      </c>
    </row>
    <row r="383" spans="1:10" x14ac:dyDescent="0.25">
      <c r="A383" t="s">
        <v>431</v>
      </c>
      <c r="B383">
        <v>3</v>
      </c>
      <c r="C383" t="s">
        <v>113</v>
      </c>
      <c r="D383">
        <v>700</v>
      </c>
      <c r="E383">
        <v>3</v>
      </c>
      <c r="F383">
        <v>3758</v>
      </c>
      <c r="G383">
        <v>25.852599999999999</v>
      </c>
      <c r="H383">
        <v>3758</v>
      </c>
      <c r="I383">
        <v>3.2199999999999999E-2</v>
      </c>
      <c r="J383" t="b">
        <v>1</v>
      </c>
    </row>
    <row r="384" spans="1:10" x14ac:dyDescent="0.25">
      <c r="A384" t="s">
        <v>240</v>
      </c>
      <c r="B384">
        <v>2</v>
      </c>
      <c r="C384" t="s">
        <v>62</v>
      </c>
      <c r="D384">
        <v>500</v>
      </c>
      <c r="E384">
        <v>5</v>
      </c>
      <c r="F384">
        <v>1692</v>
      </c>
      <c r="G384">
        <v>2.1781000000000001</v>
      </c>
      <c r="H384">
        <v>1692</v>
      </c>
      <c r="I384">
        <v>3.2000000000000001E-2</v>
      </c>
      <c r="J384" t="b">
        <v>1</v>
      </c>
    </row>
    <row r="385" spans="1:10" x14ac:dyDescent="0.25">
      <c r="A385" t="s">
        <v>331</v>
      </c>
      <c r="B385">
        <v>3</v>
      </c>
      <c r="C385" t="s">
        <v>11</v>
      </c>
      <c r="D385">
        <v>700</v>
      </c>
      <c r="E385">
        <v>3</v>
      </c>
      <c r="F385">
        <v>3215</v>
      </c>
      <c r="G385">
        <v>23.765499999999999</v>
      </c>
      <c r="H385">
        <v>3215</v>
      </c>
      <c r="I385">
        <v>3.2000000000000001E-2</v>
      </c>
      <c r="J385" t="b">
        <v>1</v>
      </c>
    </row>
    <row r="386" spans="1:10" x14ac:dyDescent="0.25">
      <c r="A386" t="s">
        <v>427</v>
      </c>
      <c r="B386">
        <v>3</v>
      </c>
      <c r="C386" t="s">
        <v>113</v>
      </c>
      <c r="D386">
        <v>800</v>
      </c>
      <c r="E386">
        <v>2</v>
      </c>
      <c r="F386">
        <v>4225</v>
      </c>
      <c r="G386">
        <v>63.835700000000003</v>
      </c>
      <c r="H386">
        <v>4225</v>
      </c>
      <c r="I386">
        <v>3.2000000000000001E-2</v>
      </c>
      <c r="J386" t="b">
        <v>1</v>
      </c>
    </row>
    <row r="387" spans="1:10" x14ac:dyDescent="0.25">
      <c r="A387" t="s">
        <v>457</v>
      </c>
      <c r="B387">
        <v>3</v>
      </c>
      <c r="C387" t="s">
        <v>113</v>
      </c>
      <c r="D387">
        <v>800</v>
      </c>
      <c r="E387">
        <v>8</v>
      </c>
      <c r="F387">
        <v>4414</v>
      </c>
      <c r="G387">
        <v>67.037899999999993</v>
      </c>
      <c r="H387">
        <v>4414</v>
      </c>
      <c r="I387">
        <v>3.2000000000000001E-2</v>
      </c>
      <c r="J387" t="b">
        <v>1</v>
      </c>
    </row>
    <row r="388" spans="1:10" x14ac:dyDescent="0.25">
      <c r="A388" t="s">
        <v>543</v>
      </c>
      <c r="B388">
        <v>4</v>
      </c>
      <c r="C388" t="s">
        <v>62</v>
      </c>
      <c r="D388">
        <v>1000</v>
      </c>
      <c r="E388">
        <v>6</v>
      </c>
      <c r="F388">
        <v>4518</v>
      </c>
      <c r="G388">
        <v>140.0761</v>
      </c>
      <c r="H388">
        <v>4518</v>
      </c>
      <c r="I388">
        <v>3.1899999999999998E-2</v>
      </c>
      <c r="J388" t="b">
        <v>1</v>
      </c>
    </row>
    <row r="389" spans="1:10" x14ac:dyDescent="0.25">
      <c r="A389" t="s">
        <v>523</v>
      </c>
      <c r="B389">
        <v>4</v>
      </c>
      <c r="C389" t="s">
        <v>62</v>
      </c>
      <c r="D389">
        <v>1000</v>
      </c>
      <c r="E389">
        <v>2</v>
      </c>
      <c r="F389">
        <v>4590</v>
      </c>
      <c r="G389">
        <v>129.38749999999999</v>
      </c>
      <c r="H389">
        <v>4590</v>
      </c>
      <c r="I389">
        <v>3.1800000000000002E-2</v>
      </c>
      <c r="J389" t="b">
        <v>1</v>
      </c>
    </row>
    <row r="390" spans="1:10" x14ac:dyDescent="0.25">
      <c r="A390" t="s">
        <v>264</v>
      </c>
      <c r="B390">
        <v>2</v>
      </c>
      <c r="C390" t="s">
        <v>113</v>
      </c>
      <c r="D390">
        <v>300</v>
      </c>
      <c r="E390">
        <v>10</v>
      </c>
      <c r="F390">
        <v>1411</v>
      </c>
      <c r="G390">
        <v>0.76249999999999996</v>
      </c>
      <c r="H390">
        <v>1411</v>
      </c>
      <c r="I390">
        <v>3.1699999999999999E-2</v>
      </c>
      <c r="J390" t="b">
        <v>1</v>
      </c>
    </row>
    <row r="391" spans="1:10" x14ac:dyDescent="0.25">
      <c r="A391" t="s">
        <v>304</v>
      </c>
      <c r="B391">
        <v>2</v>
      </c>
      <c r="C391" t="s">
        <v>113</v>
      </c>
      <c r="D391">
        <v>300</v>
      </c>
      <c r="E391">
        <v>8</v>
      </c>
      <c r="F391">
        <v>1512</v>
      </c>
      <c r="G391">
        <v>0.96970000000000001</v>
      </c>
      <c r="H391">
        <v>1512</v>
      </c>
      <c r="I391">
        <v>3.1699999999999999E-2</v>
      </c>
      <c r="J391" t="b">
        <v>1</v>
      </c>
    </row>
    <row r="392" spans="1:10" x14ac:dyDescent="0.25">
      <c r="A392" t="s">
        <v>522</v>
      </c>
      <c r="B392">
        <v>4</v>
      </c>
      <c r="C392" t="s">
        <v>62</v>
      </c>
      <c r="D392">
        <v>800</v>
      </c>
      <c r="E392">
        <v>1</v>
      </c>
      <c r="F392">
        <v>3665</v>
      </c>
      <c r="G392">
        <v>63.408999999999999</v>
      </c>
      <c r="H392">
        <v>3665</v>
      </c>
      <c r="I392">
        <v>3.1600000000000003E-2</v>
      </c>
      <c r="J392" t="b">
        <v>1</v>
      </c>
    </row>
    <row r="393" spans="1:10" x14ac:dyDescent="0.25">
      <c r="A393" t="s">
        <v>555</v>
      </c>
      <c r="B393">
        <v>4</v>
      </c>
      <c r="C393" t="s">
        <v>62</v>
      </c>
      <c r="D393">
        <v>500</v>
      </c>
      <c r="E393">
        <v>8</v>
      </c>
      <c r="F393">
        <v>2186</v>
      </c>
      <c r="G393">
        <v>4.7843999999999998</v>
      </c>
      <c r="H393">
        <v>2186</v>
      </c>
      <c r="I393">
        <v>3.15E-2</v>
      </c>
      <c r="J393" t="b">
        <v>1</v>
      </c>
    </row>
    <row r="394" spans="1:10" x14ac:dyDescent="0.25">
      <c r="A394" t="s">
        <v>48</v>
      </c>
      <c r="B394">
        <v>1</v>
      </c>
      <c r="C394" t="s">
        <v>11</v>
      </c>
      <c r="D394">
        <v>500</v>
      </c>
      <c r="E394">
        <v>7</v>
      </c>
      <c r="F394">
        <v>2171</v>
      </c>
      <c r="G394">
        <v>2.0179999999999998</v>
      </c>
      <c r="H394">
        <v>2171</v>
      </c>
      <c r="I394">
        <v>3.1E-2</v>
      </c>
      <c r="J394" t="b">
        <v>1</v>
      </c>
    </row>
    <row r="395" spans="1:10" x14ac:dyDescent="0.25">
      <c r="A395" t="s">
        <v>224</v>
      </c>
      <c r="B395">
        <v>2</v>
      </c>
      <c r="C395" t="s">
        <v>62</v>
      </c>
      <c r="D395">
        <v>300</v>
      </c>
      <c r="E395">
        <v>2</v>
      </c>
      <c r="F395">
        <v>1217</v>
      </c>
      <c r="G395">
        <v>1.0955999999999999</v>
      </c>
      <c r="H395">
        <v>1217</v>
      </c>
      <c r="I395">
        <v>3.1E-2</v>
      </c>
      <c r="J395" t="b">
        <v>1</v>
      </c>
    </row>
    <row r="396" spans="1:10" x14ac:dyDescent="0.25">
      <c r="A396" t="s">
        <v>379</v>
      </c>
      <c r="B396">
        <v>3</v>
      </c>
      <c r="C396" t="s">
        <v>62</v>
      </c>
      <c r="D396">
        <v>300</v>
      </c>
      <c r="E396">
        <v>3</v>
      </c>
      <c r="F396">
        <v>1335</v>
      </c>
      <c r="G396">
        <v>0.35360000000000003</v>
      </c>
      <c r="H396">
        <v>1335</v>
      </c>
      <c r="I396">
        <v>3.1E-2</v>
      </c>
      <c r="J396" t="b">
        <v>1</v>
      </c>
    </row>
    <row r="397" spans="1:10" x14ac:dyDescent="0.25">
      <c r="A397" t="s">
        <v>526</v>
      </c>
      <c r="B397">
        <v>4</v>
      </c>
      <c r="C397" t="s">
        <v>62</v>
      </c>
      <c r="D397">
        <v>700</v>
      </c>
      <c r="E397">
        <v>2</v>
      </c>
      <c r="F397">
        <v>3145</v>
      </c>
      <c r="G397">
        <v>23.2866</v>
      </c>
      <c r="H397">
        <v>3145</v>
      </c>
      <c r="I397">
        <v>3.0700000000000002E-2</v>
      </c>
      <c r="J397" t="b">
        <v>1</v>
      </c>
    </row>
    <row r="398" spans="1:10" x14ac:dyDescent="0.25">
      <c r="A398" t="s">
        <v>160</v>
      </c>
      <c r="B398">
        <v>1</v>
      </c>
      <c r="C398" t="s">
        <v>113</v>
      </c>
      <c r="D398">
        <v>500</v>
      </c>
      <c r="E398">
        <v>9</v>
      </c>
      <c r="F398">
        <v>2471</v>
      </c>
      <c r="G398">
        <v>2.226</v>
      </c>
      <c r="H398">
        <v>2471</v>
      </c>
      <c r="I398">
        <v>3.0599999999999999E-2</v>
      </c>
      <c r="J398" t="b">
        <v>1</v>
      </c>
    </row>
    <row r="399" spans="1:10" x14ac:dyDescent="0.25">
      <c r="A399" t="s">
        <v>464</v>
      </c>
      <c r="B399">
        <v>4</v>
      </c>
      <c r="C399" t="s">
        <v>11</v>
      </c>
      <c r="D399">
        <v>300</v>
      </c>
      <c r="E399">
        <v>10</v>
      </c>
      <c r="F399">
        <v>1385</v>
      </c>
      <c r="G399">
        <v>0.80010000000000003</v>
      </c>
      <c r="H399">
        <v>1385</v>
      </c>
      <c r="I399">
        <v>3.0599999999999999E-2</v>
      </c>
      <c r="J399" t="b">
        <v>1</v>
      </c>
    </row>
    <row r="400" spans="1:10" x14ac:dyDescent="0.25">
      <c r="A400" t="s">
        <v>575</v>
      </c>
      <c r="B400">
        <v>4</v>
      </c>
      <c r="C400" t="s">
        <v>113</v>
      </c>
      <c r="D400">
        <v>500</v>
      </c>
      <c r="E400">
        <v>2</v>
      </c>
      <c r="F400">
        <v>2786</v>
      </c>
      <c r="G400">
        <v>4.9644000000000004</v>
      </c>
      <c r="H400">
        <v>2786</v>
      </c>
      <c r="I400">
        <v>3.0599999999999999E-2</v>
      </c>
      <c r="J400" t="b">
        <v>1</v>
      </c>
    </row>
    <row r="401" spans="1:10" x14ac:dyDescent="0.25">
      <c r="A401" t="s">
        <v>275</v>
      </c>
      <c r="B401">
        <v>2</v>
      </c>
      <c r="C401" t="s">
        <v>113</v>
      </c>
      <c r="D401">
        <v>500</v>
      </c>
      <c r="E401">
        <v>2</v>
      </c>
      <c r="F401">
        <v>1823</v>
      </c>
      <c r="G401">
        <v>2.0099999999999998</v>
      </c>
      <c r="H401">
        <v>1823</v>
      </c>
      <c r="I401">
        <v>3.0499999999999999E-2</v>
      </c>
      <c r="J401" t="b">
        <v>1</v>
      </c>
    </row>
    <row r="402" spans="1:10" x14ac:dyDescent="0.25">
      <c r="A402" t="s">
        <v>300</v>
      </c>
      <c r="B402">
        <v>2</v>
      </c>
      <c r="C402" t="s">
        <v>113</v>
      </c>
      <c r="D402">
        <v>500</v>
      </c>
      <c r="E402">
        <v>7</v>
      </c>
      <c r="F402">
        <v>1934</v>
      </c>
      <c r="G402">
        <v>2.1608999999999998</v>
      </c>
      <c r="H402">
        <v>1934</v>
      </c>
      <c r="I402">
        <v>3.0499999999999999E-2</v>
      </c>
      <c r="J402" t="b">
        <v>1</v>
      </c>
    </row>
    <row r="403" spans="1:10" x14ac:dyDescent="0.25">
      <c r="A403" t="s">
        <v>382</v>
      </c>
      <c r="B403">
        <v>3</v>
      </c>
      <c r="C403" t="s">
        <v>62</v>
      </c>
      <c r="D403">
        <v>800</v>
      </c>
      <c r="E403">
        <v>3</v>
      </c>
      <c r="F403">
        <v>3591</v>
      </c>
      <c r="G403">
        <v>71.337699999999998</v>
      </c>
      <c r="H403">
        <v>3591</v>
      </c>
      <c r="I403">
        <v>3.0499999999999999E-2</v>
      </c>
      <c r="J403" t="b">
        <v>1</v>
      </c>
    </row>
    <row r="404" spans="1:10" x14ac:dyDescent="0.25">
      <c r="A404" t="s">
        <v>239</v>
      </c>
      <c r="B404">
        <v>2</v>
      </c>
      <c r="C404" t="s">
        <v>62</v>
      </c>
      <c r="D404">
        <v>300</v>
      </c>
      <c r="E404">
        <v>5</v>
      </c>
      <c r="F404">
        <v>1225</v>
      </c>
      <c r="G404">
        <v>0.86950000000000005</v>
      </c>
      <c r="H404">
        <v>1225</v>
      </c>
      <c r="I404">
        <v>3.04E-2</v>
      </c>
      <c r="J404" t="b">
        <v>1</v>
      </c>
    </row>
    <row r="405" spans="1:10" x14ac:dyDescent="0.25">
      <c r="A405" t="s">
        <v>294</v>
      </c>
      <c r="B405">
        <v>2</v>
      </c>
      <c r="C405" t="s">
        <v>113</v>
      </c>
      <c r="D405">
        <v>300</v>
      </c>
      <c r="E405">
        <v>6</v>
      </c>
      <c r="F405">
        <v>1504</v>
      </c>
      <c r="G405">
        <v>0.7823</v>
      </c>
      <c r="H405">
        <v>1504</v>
      </c>
      <c r="I405">
        <v>3.04E-2</v>
      </c>
      <c r="J405" t="b">
        <v>1</v>
      </c>
    </row>
    <row r="406" spans="1:10" x14ac:dyDescent="0.25">
      <c r="A406" t="s">
        <v>260</v>
      </c>
      <c r="B406">
        <v>2</v>
      </c>
      <c r="C406" t="s">
        <v>62</v>
      </c>
      <c r="D406">
        <v>500</v>
      </c>
      <c r="E406">
        <v>9</v>
      </c>
      <c r="F406">
        <v>1464</v>
      </c>
      <c r="G406">
        <v>2.1150000000000002</v>
      </c>
      <c r="H406">
        <v>1464</v>
      </c>
      <c r="I406">
        <v>3.0300000000000001E-2</v>
      </c>
      <c r="J406" t="b">
        <v>1</v>
      </c>
    </row>
    <row r="407" spans="1:10" x14ac:dyDescent="0.25">
      <c r="A407" t="s">
        <v>447</v>
      </c>
      <c r="B407">
        <v>3</v>
      </c>
      <c r="C407" t="s">
        <v>113</v>
      </c>
      <c r="D407">
        <v>800</v>
      </c>
      <c r="E407">
        <v>6</v>
      </c>
      <c r="F407">
        <v>4324</v>
      </c>
      <c r="G407">
        <v>73.992699999999999</v>
      </c>
      <c r="H407">
        <v>4324</v>
      </c>
      <c r="I407">
        <v>3.0300000000000001E-2</v>
      </c>
      <c r="J407" t="b">
        <v>1</v>
      </c>
    </row>
    <row r="408" spans="1:10" x14ac:dyDescent="0.25">
      <c r="A408" t="s">
        <v>347</v>
      </c>
      <c r="B408">
        <v>3</v>
      </c>
      <c r="C408" t="s">
        <v>11</v>
      </c>
      <c r="D408">
        <v>800</v>
      </c>
      <c r="E408">
        <v>6</v>
      </c>
      <c r="F408">
        <v>3570</v>
      </c>
      <c r="G408">
        <v>76.418199999999999</v>
      </c>
      <c r="H408">
        <v>3570</v>
      </c>
      <c r="I408">
        <v>3.0099999999999998E-2</v>
      </c>
      <c r="J408" t="b">
        <v>1</v>
      </c>
    </row>
    <row r="409" spans="1:10" x14ac:dyDescent="0.25">
      <c r="A409" t="s">
        <v>426</v>
      </c>
      <c r="B409">
        <v>3</v>
      </c>
      <c r="C409" t="s">
        <v>113</v>
      </c>
      <c r="D409">
        <v>700</v>
      </c>
      <c r="E409">
        <v>2</v>
      </c>
      <c r="F409">
        <v>3700</v>
      </c>
      <c r="G409">
        <v>24.364100000000001</v>
      </c>
      <c r="H409">
        <v>3700</v>
      </c>
      <c r="I409">
        <v>3.0099999999999998E-2</v>
      </c>
      <c r="J409" t="b">
        <v>1</v>
      </c>
    </row>
    <row r="410" spans="1:10" x14ac:dyDescent="0.25">
      <c r="A410" t="s">
        <v>207</v>
      </c>
      <c r="B410">
        <v>2</v>
      </c>
      <c r="C410" t="s">
        <v>11</v>
      </c>
      <c r="D410">
        <v>800</v>
      </c>
      <c r="E410">
        <v>8</v>
      </c>
      <c r="F410">
        <v>1872</v>
      </c>
      <c r="G410">
        <v>4.2088000000000001</v>
      </c>
      <c r="H410">
        <v>1872</v>
      </c>
      <c r="I410">
        <v>2.9499999999999998E-2</v>
      </c>
      <c r="J410" t="b">
        <v>1</v>
      </c>
    </row>
    <row r="411" spans="1:10" x14ac:dyDescent="0.25">
      <c r="A411" t="s">
        <v>226</v>
      </c>
      <c r="B411">
        <v>2</v>
      </c>
      <c r="C411" t="s">
        <v>62</v>
      </c>
      <c r="D411">
        <v>700</v>
      </c>
      <c r="E411">
        <v>2</v>
      </c>
      <c r="F411">
        <v>2292</v>
      </c>
      <c r="G411">
        <v>4.4031000000000002</v>
      </c>
      <c r="H411">
        <v>2292</v>
      </c>
      <c r="I411">
        <v>2.9399999999999999E-2</v>
      </c>
      <c r="J411" t="b">
        <v>1</v>
      </c>
    </row>
    <row r="412" spans="1:10" x14ac:dyDescent="0.25">
      <c r="A412" t="s">
        <v>576</v>
      </c>
      <c r="B412">
        <v>4</v>
      </c>
      <c r="C412" t="s">
        <v>113</v>
      </c>
      <c r="D412">
        <v>700</v>
      </c>
      <c r="E412">
        <v>2</v>
      </c>
      <c r="F412">
        <v>3717</v>
      </c>
      <c r="G412">
        <v>24.950800000000001</v>
      </c>
      <c r="H412">
        <v>3717</v>
      </c>
      <c r="I412">
        <v>2.93E-2</v>
      </c>
      <c r="J412" t="b">
        <v>1</v>
      </c>
    </row>
    <row r="413" spans="1:10" x14ac:dyDescent="0.25">
      <c r="A413" t="s">
        <v>437</v>
      </c>
      <c r="B413">
        <v>3</v>
      </c>
      <c r="C413" t="s">
        <v>113</v>
      </c>
      <c r="D413">
        <v>800</v>
      </c>
      <c r="E413">
        <v>4</v>
      </c>
      <c r="F413">
        <v>4302</v>
      </c>
      <c r="G413">
        <v>73.570999999999998</v>
      </c>
      <c r="H413">
        <v>4302</v>
      </c>
      <c r="I413">
        <v>2.9100000000000001E-2</v>
      </c>
      <c r="J413" t="b">
        <v>1</v>
      </c>
    </row>
    <row r="414" spans="1:10" x14ac:dyDescent="0.25">
      <c r="A414" t="s">
        <v>400</v>
      </c>
      <c r="B414">
        <v>3</v>
      </c>
      <c r="C414" t="s">
        <v>62</v>
      </c>
      <c r="D414">
        <v>500</v>
      </c>
      <c r="E414">
        <v>7</v>
      </c>
      <c r="F414">
        <v>2161</v>
      </c>
      <c r="G414">
        <v>6.9623999999999997</v>
      </c>
      <c r="H414">
        <v>2161</v>
      </c>
      <c r="I414">
        <v>2.9000000000000001E-2</v>
      </c>
      <c r="J414" t="b">
        <v>1</v>
      </c>
    </row>
    <row r="415" spans="1:10" x14ac:dyDescent="0.25">
      <c r="A415" t="s">
        <v>413</v>
      </c>
      <c r="B415">
        <v>3</v>
      </c>
      <c r="C415" t="s">
        <v>113</v>
      </c>
      <c r="D415">
        <v>1000</v>
      </c>
      <c r="E415">
        <v>10</v>
      </c>
      <c r="F415">
        <v>5607</v>
      </c>
      <c r="G415">
        <v>140.2543</v>
      </c>
      <c r="H415">
        <v>5607</v>
      </c>
      <c r="I415">
        <v>2.9000000000000001E-2</v>
      </c>
      <c r="J415" t="b">
        <v>1</v>
      </c>
    </row>
    <row r="416" spans="1:10" x14ac:dyDescent="0.25">
      <c r="A416" t="s">
        <v>238</v>
      </c>
      <c r="B416">
        <v>2</v>
      </c>
      <c r="C416" t="s">
        <v>62</v>
      </c>
      <c r="D416">
        <v>1000</v>
      </c>
      <c r="E416">
        <v>5</v>
      </c>
      <c r="F416">
        <v>2696</v>
      </c>
      <c r="G416">
        <v>7.1986999999999997</v>
      </c>
      <c r="H416">
        <v>2696</v>
      </c>
      <c r="I416">
        <v>2.8899999999999999E-2</v>
      </c>
      <c r="J416" t="b">
        <v>1</v>
      </c>
    </row>
    <row r="417" spans="1:10" x14ac:dyDescent="0.25">
      <c r="A417" t="s">
        <v>261</v>
      </c>
      <c r="B417">
        <v>2</v>
      </c>
      <c r="C417" t="s">
        <v>62</v>
      </c>
      <c r="D417">
        <v>700</v>
      </c>
      <c r="E417">
        <v>9</v>
      </c>
      <c r="F417">
        <v>2196</v>
      </c>
      <c r="G417">
        <v>3.4750999999999999</v>
      </c>
      <c r="H417">
        <v>2196</v>
      </c>
      <c r="I417">
        <v>2.8799999999999999E-2</v>
      </c>
      <c r="J417" t="b">
        <v>1</v>
      </c>
    </row>
    <row r="418" spans="1:10" x14ac:dyDescent="0.25">
      <c r="A418" t="s">
        <v>68</v>
      </c>
      <c r="B418">
        <v>1</v>
      </c>
      <c r="C418" t="s">
        <v>62</v>
      </c>
      <c r="D418">
        <v>300</v>
      </c>
      <c r="E418">
        <v>1</v>
      </c>
      <c r="F418">
        <v>1257</v>
      </c>
      <c r="G418">
        <v>0.4622</v>
      </c>
      <c r="H418">
        <v>1257</v>
      </c>
      <c r="I418">
        <v>2.8500000000000001E-2</v>
      </c>
      <c r="J418" t="b">
        <v>1</v>
      </c>
    </row>
    <row r="419" spans="1:10" x14ac:dyDescent="0.25">
      <c r="A419" t="s">
        <v>340</v>
      </c>
      <c r="B419">
        <v>3</v>
      </c>
      <c r="C419" t="s">
        <v>11</v>
      </c>
      <c r="D419">
        <v>500</v>
      </c>
      <c r="E419">
        <v>5</v>
      </c>
      <c r="F419">
        <v>2415</v>
      </c>
      <c r="G419">
        <v>6.2835999999999999</v>
      </c>
      <c r="H419">
        <v>2415</v>
      </c>
      <c r="I419">
        <v>2.8500000000000001E-2</v>
      </c>
      <c r="J419" t="b">
        <v>1</v>
      </c>
    </row>
    <row r="420" spans="1:10" x14ac:dyDescent="0.25">
      <c r="A420" t="s">
        <v>248</v>
      </c>
      <c r="B420">
        <v>2</v>
      </c>
      <c r="C420" t="s">
        <v>62</v>
      </c>
      <c r="D420">
        <v>1000</v>
      </c>
      <c r="E420">
        <v>7</v>
      </c>
      <c r="F420">
        <v>2768</v>
      </c>
      <c r="G420">
        <v>7.9309000000000003</v>
      </c>
      <c r="H420">
        <v>2768</v>
      </c>
      <c r="I420">
        <v>2.8199999999999999E-2</v>
      </c>
      <c r="J420" t="b">
        <v>1</v>
      </c>
    </row>
    <row r="421" spans="1:10" x14ac:dyDescent="0.25">
      <c r="A421" t="s">
        <v>270</v>
      </c>
      <c r="B421">
        <v>2</v>
      </c>
      <c r="C421" t="s">
        <v>113</v>
      </c>
      <c r="D421">
        <v>500</v>
      </c>
      <c r="E421">
        <v>1</v>
      </c>
      <c r="F421">
        <v>1923</v>
      </c>
      <c r="G421">
        <v>2.0312000000000001</v>
      </c>
      <c r="H421">
        <v>1923</v>
      </c>
      <c r="I421">
        <v>2.81E-2</v>
      </c>
      <c r="J421" t="b">
        <v>1</v>
      </c>
    </row>
    <row r="422" spans="1:10" x14ac:dyDescent="0.25">
      <c r="A422" t="s">
        <v>255</v>
      </c>
      <c r="B422">
        <v>2</v>
      </c>
      <c r="C422" t="s">
        <v>62</v>
      </c>
      <c r="D422">
        <v>500</v>
      </c>
      <c r="E422">
        <v>8</v>
      </c>
      <c r="F422">
        <v>1531</v>
      </c>
      <c r="G422">
        <v>2.173</v>
      </c>
      <c r="H422">
        <v>1531</v>
      </c>
      <c r="I422">
        <v>2.8000000000000001E-2</v>
      </c>
      <c r="J422" t="b">
        <v>1</v>
      </c>
    </row>
    <row r="423" spans="1:10" x14ac:dyDescent="0.25">
      <c r="A423" t="s">
        <v>402</v>
      </c>
      <c r="B423">
        <v>3</v>
      </c>
      <c r="C423" t="s">
        <v>62</v>
      </c>
      <c r="D423">
        <v>800</v>
      </c>
      <c r="E423">
        <v>7</v>
      </c>
      <c r="F423">
        <v>3650</v>
      </c>
      <c r="G423">
        <v>71.331100000000006</v>
      </c>
      <c r="H423">
        <v>3650</v>
      </c>
      <c r="I423">
        <v>2.8000000000000001E-2</v>
      </c>
      <c r="J423" t="b">
        <v>1</v>
      </c>
    </row>
    <row r="424" spans="1:10" x14ac:dyDescent="0.25">
      <c r="A424" t="s">
        <v>452</v>
      </c>
      <c r="B424">
        <v>3</v>
      </c>
      <c r="C424" t="s">
        <v>113</v>
      </c>
      <c r="D424">
        <v>800</v>
      </c>
      <c r="E424">
        <v>7</v>
      </c>
      <c r="F424">
        <v>4234</v>
      </c>
      <c r="G424">
        <v>73.668700000000001</v>
      </c>
      <c r="H424">
        <v>4234</v>
      </c>
      <c r="I424">
        <v>2.8000000000000001E-2</v>
      </c>
      <c r="J424" t="b">
        <v>1</v>
      </c>
    </row>
    <row r="425" spans="1:10" x14ac:dyDescent="0.25">
      <c r="A425" t="s">
        <v>279</v>
      </c>
      <c r="B425">
        <v>2</v>
      </c>
      <c r="C425" t="s">
        <v>113</v>
      </c>
      <c r="D425">
        <v>300</v>
      </c>
      <c r="E425">
        <v>3</v>
      </c>
      <c r="F425">
        <v>1283</v>
      </c>
      <c r="G425">
        <v>0.96519999999999995</v>
      </c>
      <c r="H425">
        <v>1283</v>
      </c>
      <c r="I425">
        <v>2.7900000000000001E-2</v>
      </c>
      <c r="J425" t="b">
        <v>1</v>
      </c>
    </row>
    <row r="426" spans="1:10" x14ac:dyDescent="0.25">
      <c r="A426" t="s">
        <v>601</v>
      </c>
      <c r="B426">
        <v>4</v>
      </c>
      <c r="C426" t="s">
        <v>113</v>
      </c>
      <c r="D426">
        <v>700</v>
      </c>
      <c r="E426">
        <v>7</v>
      </c>
      <c r="F426">
        <v>3838</v>
      </c>
      <c r="G426">
        <v>22.260400000000001</v>
      </c>
      <c r="H426">
        <v>3838</v>
      </c>
      <c r="I426">
        <v>2.7900000000000001E-2</v>
      </c>
      <c r="J426" t="b">
        <v>1</v>
      </c>
    </row>
    <row r="427" spans="1:10" x14ac:dyDescent="0.25">
      <c r="A427" t="s">
        <v>329</v>
      </c>
      <c r="B427">
        <v>3</v>
      </c>
      <c r="C427" t="s">
        <v>11</v>
      </c>
      <c r="D427">
        <v>300</v>
      </c>
      <c r="E427">
        <v>3</v>
      </c>
      <c r="F427">
        <v>1335</v>
      </c>
      <c r="G427">
        <v>0.4531</v>
      </c>
      <c r="H427">
        <v>1335</v>
      </c>
      <c r="I427">
        <v>2.7699999999999999E-2</v>
      </c>
      <c r="J427" t="b">
        <v>1</v>
      </c>
    </row>
    <row r="428" spans="1:10" x14ac:dyDescent="0.25">
      <c r="A428" t="s">
        <v>532</v>
      </c>
      <c r="B428">
        <v>4</v>
      </c>
      <c r="C428" t="s">
        <v>62</v>
      </c>
      <c r="D428">
        <v>800</v>
      </c>
      <c r="E428">
        <v>3</v>
      </c>
      <c r="F428">
        <v>3594</v>
      </c>
      <c r="G428">
        <v>65.386899999999997</v>
      </c>
      <c r="H428">
        <v>3594</v>
      </c>
      <c r="I428">
        <v>2.7699999999999999E-2</v>
      </c>
      <c r="J428" t="b">
        <v>1</v>
      </c>
    </row>
    <row r="429" spans="1:10" x14ac:dyDescent="0.25">
      <c r="A429" t="s">
        <v>339</v>
      </c>
      <c r="B429">
        <v>3</v>
      </c>
      <c r="C429" t="s">
        <v>11</v>
      </c>
      <c r="D429">
        <v>300</v>
      </c>
      <c r="E429">
        <v>5</v>
      </c>
      <c r="F429">
        <v>1315</v>
      </c>
      <c r="G429">
        <v>0.35909999999999997</v>
      </c>
      <c r="H429">
        <v>1315</v>
      </c>
      <c r="I429">
        <v>2.75E-2</v>
      </c>
      <c r="J429" t="b">
        <v>1</v>
      </c>
    </row>
    <row r="430" spans="1:10" x14ac:dyDescent="0.25">
      <c r="A430" t="s">
        <v>418</v>
      </c>
      <c r="B430">
        <v>3</v>
      </c>
      <c r="C430" t="s">
        <v>113</v>
      </c>
      <c r="D430">
        <v>1000</v>
      </c>
      <c r="E430">
        <v>1</v>
      </c>
      <c r="F430">
        <v>5324</v>
      </c>
      <c r="G430">
        <v>140.3159</v>
      </c>
      <c r="H430">
        <v>5324</v>
      </c>
      <c r="I430">
        <v>2.7400000000000001E-2</v>
      </c>
      <c r="J430" t="b">
        <v>1</v>
      </c>
    </row>
    <row r="431" spans="1:10" x14ac:dyDescent="0.25">
      <c r="A431" t="s">
        <v>481</v>
      </c>
      <c r="B431">
        <v>4</v>
      </c>
      <c r="C431" t="s">
        <v>11</v>
      </c>
      <c r="D431">
        <v>700</v>
      </c>
      <c r="E431">
        <v>3</v>
      </c>
      <c r="F431">
        <v>3215</v>
      </c>
      <c r="G431">
        <v>21.946200000000001</v>
      </c>
      <c r="H431">
        <v>3215</v>
      </c>
      <c r="I431">
        <v>2.7400000000000001E-2</v>
      </c>
      <c r="J431" t="b">
        <v>1</v>
      </c>
    </row>
    <row r="432" spans="1:10" x14ac:dyDescent="0.25">
      <c r="A432" t="s">
        <v>602</v>
      </c>
      <c r="B432">
        <v>4</v>
      </c>
      <c r="C432" t="s">
        <v>113</v>
      </c>
      <c r="D432">
        <v>800</v>
      </c>
      <c r="E432">
        <v>7</v>
      </c>
      <c r="F432">
        <v>4307</v>
      </c>
      <c r="G432">
        <v>66.393900000000002</v>
      </c>
      <c r="H432">
        <v>4307</v>
      </c>
      <c r="I432">
        <v>2.7400000000000001E-2</v>
      </c>
      <c r="J432" t="b">
        <v>1</v>
      </c>
    </row>
    <row r="433" spans="1:10" x14ac:dyDescent="0.25">
      <c r="A433" t="s">
        <v>436</v>
      </c>
      <c r="B433">
        <v>3</v>
      </c>
      <c r="C433" t="s">
        <v>113</v>
      </c>
      <c r="D433">
        <v>700</v>
      </c>
      <c r="E433">
        <v>4</v>
      </c>
      <c r="F433">
        <v>3546</v>
      </c>
      <c r="G433">
        <v>24.634</v>
      </c>
      <c r="H433">
        <v>3546</v>
      </c>
      <c r="I433">
        <v>2.7300000000000001E-2</v>
      </c>
      <c r="J433" t="b">
        <v>1</v>
      </c>
    </row>
    <row r="434" spans="1:10" x14ac:dyDescent="0.25">
      <c r="A434" t="s">
        <v>573</v>
      </c>
      <c r="B434">
        <v>4</v>
      </c>
      <c r="C434" t="s">
        <v>113</v>
      </c>
      <c r="D434">
        <v>1000</v>
      </c>
      <c r="E434">
        <v>2</v>
      </c>
      <c r="F434">
        <v>5183</v>
      </c>
      <c r="G434">
        <v>144.6439</v>
      </c>
      <c r="H434">
        <v>5183</v>
      </c>
      <c r="I434">
        <v>2.7300000000000001E-2</v>
      </c>
      <c r="J434" t="b">
        <v>1</v>
      </c>
    </row>
    <row r="435" spans="1:10" x14ac:dyDescent="0.25">
      <c r="A435" t="s">
        <v>408</v>
      </c>
      <c r="B435">
        <v>3</v>
      </c>
      <c r="C435" t="s">
        <v>62</v>
      </c>
      <c r="D435">
        <v>1000</v>
      </c>
      <c r="E435">
        <v>9</v>
      </c>
      <c r="F435">
        <v>4670</v>
      </c>
      <c r="G435">
        <v>138.59880000000001</v>
      </c>
      <c r="H435">
        <v>4670</v>
      </c>
      <c r="I435">
        <v>2.7199999999999998E-2</v>
      </c>
      <c r="J435" t="b">
        <v>1</v>
      </c>
    </row>
    <row r="436" spans="1:10" x14ac:dyDescent="0.25">
      <c r="A436" t="s">
        <v>202</v>
      </c>
      <c r="B436">
        <v>2</v>
      </c>
      <c r="C436" t="s">
        <v>11</v>
      </c>
      <c r="D436">
        <v>800</v>
      </c>
      <c r="E436">
        <v>7</v>
      </c>
      <c r="F436">
        <v>2039</v>
      </c>
      <c r="G436">
        <v>5.4132999999999996</v>
      </c>
      <c r="H436">
        <v>2039</v>
      </c>
      <c r="I436">
        <v>2.7099999999999999E-2</v>
      </c>
      <c r="J436" t="b">
        <v>1</v>
      </c>
    </row>
    <row r="437" spans="1:10" x14ac:dyDescent="0.25">
      <c r="A437" t="s">
        <v>343</v>
      </c>
      <c r="B437">
        <v>3</v>
      </c>
      <c r="C437" t="s">
        <v>11</v>
      </c>
      <c r="D437">
        <v>1000</v>
      </c>
      <c r="E437">
        <v>6</v>
      </c>
      <c r="F437">
        <v>4548</v>
      </c>
      <c r="G437">
        <v>176.26830000000001</v>
      </c>
      <c r="H437">
        <v>4548</v>
      </c>
      <c r="I437">
        <v>2.7E-2</v>
      </c>
      <c r="J437" t="b">
        <v>1</v>
      </c>
    </row>
    <row r="438" spans="1:10" x14ac:dyDescent="0.25">
      <c r="A438" t="s">
        <v>345</v>
      </c>
      <c r="B438">
        <v>3</v>
      </c>
      <c r="C438" t="s">
        <v>11</v>
      </c>
      <c r="D438">
        <v>500</v>
      </c>
      <c r="E438">
        <v>6</v>
      </c>
      <c r="F438">
        <v>2162</v>
      </c>
      <c r="G438">
        <v>7.4244000000000003</v>
      </c>
      <c r="H438">
        <v>2162</v>
      </c>
      <c r="I438">
        <v>2.7E-2</v>
      </c>
      <c r="J438" t="b">
        <v>1</v>
      </c>
    </row>
    <row r="439" spans="1:10" x14ac:dyDescent="0.25">
      <c r="A439" t="s">
        <v>541</v>
      </c>
      <c r="B439">
        <v>4</v>
      </c>
      <c r="C439" t="s">
        <v>62</v>
      </c>
      <c r="D439">
        <v>700</v>
      </c>
      <c r="E439">
        <v>5</v>
      </c>
      <c r="F439">
        <v>3227</v>
      </c>
      <c r="G439">
        <v>23.575099999999999</v>
      </c>
      <c r="H439">
        <v>3227</v>
      </c>
      <c r="I439">
        <v>2.7E-2</v>
      </c>
      <c r="J439" t="b">
        <v>1</v>
      </c>
    </row>
    <row r="440" spans="1:10" x14ac:dyDescent="0.25">
      <c r="A440" t="s">
        <v>577</v>
      </c>
      <c r="B440">
        <v>4</v>
      </c>
      <c r="C440" t="s">
        <v>113</v>
      </c>
      <c r="D440">
        <v>800</v>
      </c>
      <c r="E440">
        <v>2</v>
      </c>
      <c r="F440">
        <v>4240</v>
      </c>
      <c r="G440">
        <v>68.611400000000003</v>
      </c>
      <c r="H440">
        <v>4240</v>
      </c>
      <c r="I440">
        <v>2.7E-2</v>
      </c>
      <c r="J440" t="b">
        <v>1</v>
      </c>
    </row>
    <row r="441" spans="1:10" x14ac:dyDescent="0.25">
      <c r="A441" t="s">
        <v>506</v>
      </c>
      <c r="B441">
        <v>4</v>
      </c>
      <c r="C441" t="s">
        <v>11</v>
      </c>
      <c r="D441">
        <v>700</v>
      </c>
      <c r="E441">
        <v>8</v>
      </c>
      <c r="F441">
        <v>3155</v>
      </c>
      <c r="G441">
        <v>25.290400000000002</v>
      </c>
      <c r="H441">
        <v>3155</v>
      </c>
      <c r="I441">
        <v>2.6599999999999999E-2</v>
      </c>
      <c r="J441" t="b">
        <v>1</v>
      </c>
    </row>
    <row r="442" spans="1:10" x14ac:dyDescent="0.25">
      <c r="A442" t="s">
        <v>537</v>
      </c>
      <c r="B442">
        <v>4</v>
      </c>
      <c r="C442" t="s">
        <v>62</v>
      </c>
      <c r="D442">
        <v>800</v>
      </c>
      <c r="E442">
        <v>4</v>
      </c>
      <c r="F442">
        <v>3680</v>
      </c>
      <c r="G442">
        <v>62.678899999999999</v>
      </c>
      <c r="H442">
        <v>3680</v>
      </c>
      <c r="I442">
        <v>2.6599999999999999E-2</v>
      </c>
      <c r="J442" t="b">
        <v>1</v>
      </c>
    </row>
    <row r="443" spans="1:10" x14ac:dyDescent="0.25">
      <c r="A443" t="s">
        <v>598</v>
      </c>
      <c r="B443">
        <v>4</v>
      </c>
      <c r="C443" t="s">
        <v>113</v>
      </c>
      <c r="D443">
        <v>1000</v>
      </c>
      <c r="E443">
        <v>7</v>
      </c>
      <c r="F443">
        <v>5491</v>
      </c>
      <c r="G443">
        <v>147.00530000000001</v>
      </c>
      <c r="H443">
        <v>5491</v>
      </c>
      <c r="I443">
        <v>2.63E-2</v>
      </c>
      <c r="J443" t="b">
        <v>1</v>
      </c>
    </row>
    <row r="444" spans="1:10" x14ac:dyDescent="0.25">
      <c r="A444" t="s">
        <v>336</v>
      </c>
      <c r="B444">
        <v>3</v>
      </c>
      <c r="C444" t="s">
        <v>11</v>
      </c>
      <c r="D444">
        <v>700</v>
      </c>
      <c r="E444">
        <v>4</v>
      </c>
      <c r="F444">
        <v>3191</v>
      </c>
      <c r="G444">
        <v>26.078499999999998</v>
      </c>
      <c r="H444">
        <v>3191</v>
      </c>
      <c r="I444">
        <v>2.6100000000000002E-2</v>
      </c>
      <c r="J444" t="b">
        <v>1</v>
      </c>
    </row>
    <row r="445" spans="1:10" x14ac:dyDescent="0.25">
      <c r="A445" t="s">
        <v>332</v>
      </c>
      <c r="B445">
        <v>3</v>
      </c>
      <c r="C445" t="s">
        <v>11</v>
      </c>
      <c r="D445">
        <v>800</v>
      </c>
      <c r="E445">
        <v>3</v>
      </c>
      <c r="F445">
        <v>3660</v>
      </c>
      <c r="G445">
        <v>82.544700000000006</v>
      </c>
      <c r="H445">
        <v>3660</v>
      </c>
      <c r="I445">
        <v>2.5999999999999999E-2</v>
      </c>
      <c r="J445" t="b">
        <v>1</v>
      </c>
    </row>
    <row r="446" spans="1:10" x14ac:dyDescent="0.25">
      <c r="A446" t="s">
        <v>377</v>
      </c>
      <c r="B446">
        <v>3</v>
      </c>
      <c r="C446" t="s">
        <v>62</v>
      </c>
      <c r="D446">
        <v>800</v>
      </c>
      <c r="E446">
        <v>2</v>
      </c>
      <c r="F446">
        <v>3610</v>
      </c>
      <c r="G446">
        <v>71.350800000000007</v>
      </c>
      <c r="H446">
        <v>3610</v>
      </c>
      <c r="I446">
        <v>2.5999999999999999E-2</v>
      </c>
      <c r="J446" t="b">
        <v>1</v>
      </c>
    </row>
    <row r="447" spans="1:10" x14ac:dyDescent="0.25">
      <c r="A447" t="s">
        <v>451</v>
      </c>
      <c r="B447">
        <v>3</v>
      </c>
      <c r="C447" t="s">
        <v>113</v>
      </c>
      <c r="D447">
        <v>700</v>
      </c>
      <c r="E447">
        <v>7</v>
      </c>
      <c r="F447">
        <v>3836</v>
      </c>
      <c r="G447">
        <v>23.957799999999999</v>
      </c>
      <c r="H447">
        <v>3836</v>
      </c>
      <c r="I447">
        <v>2.5999999999999999E-2</v>
      </c>
      <c r="J447" t="b">
        <v>1</v>
      </c>
    </row>
    <row r="448" spans="1:10" x14ac:dyDescent="0.25">
      <c r="A448" t="s">
        <v>453</v>
      </c>
      <c r="B448">
        <v>3</v>
      </c>
      <c r="C448" t="s">
        <v>113</v>
      </c>
      <c r="D448">
        <v>1000</v>
      </c>
      <c r="E448">
        <v>8</v>
      </c>
      <c r="F448">
        <v>5483</v>
      </c>
      <c r="G448">
        <v>155.04750000000001</v>
      </c>
      <c r="H448">
        <v>5483</v>
      </c>
      <c r="I448">
        <v>2.5999999999999999E-2</v>
      </c>
      <c r="J448" t="b">
        <v>1</v>
      </c>
    </row>
    <row r="449" spans="1:10" x14ac:dyDescent="0.25">
      <c r="A449" t="s">
        <v>103</v>
      </c>
      <c r="B449">
        <v>1</v>
      </c>
      <c r="C449" t="s">
        <v>62</v>
      </c>
      <c r="D449">
        <v>300</v>
      </c>
      <c r="E449">
        <v>8</v>
      </c>
      <c r="F449">
        <v>1295</v>
      </c>
      <c r="G449">
        <v>0.44240000000000002</v>
      </c>
      <c r="H449">
        <v>1295</v>
      </c>
      <c r="I449">
        <v>2.5499999999999998E-2</v>
      </c>
      <c r="J449" t="b">
        <v>1</v>
      </c>
    </row>
    <row r="450" spans="1:10" x14ac:dyDescent="0.25">
      <c r="A450" t="s">
        <v>355</v>
      </c>
      <c r="B450">
        <v>3</v>
      </c>
      <c r="C450" t="s">
        <v>11</v>
      </c>
      <c r="D450">
        <v>500</v>
      </c>
      <c r="E450">
        <v>8</v>
      </c>
      <c r="F450">
        <v>2395</v>
      </c>
      <c r="G450">
        <v>7.4043000000000001</v>
      </c>
      <c r="H450">
        <v>2395</v>
      </c>
      <c r="I450">
        <v>2.5499999999999998E-2</v>
      </c>
      <c r="J450" t="b">
        <v>1</v>
      </c>
    </row>
    <row r="451" spans="1:10" x14ac:dyDescent="0.25">
      <c r="A451" t="s">
        <v>432</v>
      </c>
      <c r="B451">
        <v>3</v>
      </c>
      <c r="C451" t="s">
        <v>113</v>
      </c>
      <c r="D451">
        <v>800</v>
      </c>
      <c r="E451">
        <v>3</v>
      </c>
      <c r="F451">
        <v>4102</v>
      </c>
      <c r="G451">
        <v>69.293400000000005</v>
      </c>
      <c r="H451">
        <v>4102</v>
      </c>
      <c r="I451">
        <v>2.5499999999999998E-2</v>
      </c>
      <c r="J451" t="b">
        <v>1</v>
      </c>
    </row>
    <row r="452" spans="1:10" x14ac:dyDescent="0.25">
      <c r="A452" t="s">
        <v>502</v>
      </c>
      <c r="B452">
        <v>4</v>
      </c>
      <c r="C452" t="s">
        <v>11</v>
      </c>
      <c r="D452">
        <v>800</v>
      </c>
      <c r="E452">
        <v>7</v>
      </c>
      <c r="F452">
        <v>3630</v>
      </c>
      <c r="G452">
        <v>67.829300000000003</v>
      </c>
      <c r="H452">
        <v>3630</v>
      </c>
      <c r="I452">
        <v>2.5499999999999998E-2</v>
      </c>
      <c r="J452" t="b">
        <v>1</v>
      </c>
    </row>
    <row r="453" spans="1:10" x14ac:dyDescent="0.25">
      <c r="A453" t="s">
        <v>299</v>
      </c>
      <c r="B453">
        <v>2</v>
      </c>
      <c r="C453" t="s">
        <v>113</v>
      </c>
      <c r="D453">
        <v>300</v>
      </c>
      <c r="E453">
        <v>7</v>
      </c>
      <c r="F453">
        <v>1385</v>
      </c>
      <c r="G453">
        <v>0.9123</v>
      </c>
      <c r="H453">
        <v>1385</v>
      </c>
      <c r="I453">
        <v>2.5399999999999999E-2</v>
      </c>
      <c r="J453" t="b">
        <v>1</v>
      </c>
    </row>
    <row r="454" spans="1:10" x14ac:dyDescent="0.25">
      <c r="A454" t="s">
        <v>319</v>
      </c>
      <c r="B454">
        <v>3</v>
      </c>
      <c r="C454" t="s">
        <v>11</v>
      </c>
      <c r="D454">
        <v>300</v>
      </c>
      <c r="E454">
        <v>1</v>
      </c>
      <c r="F454">
        <v>1275</v>
      </c>
      <c r="G454">
        <v>0.48520000000000002</v>
      </c>
      <c r="H454">
        <v>1275</v>
      </c>
      <c r="I454">
        <v>2.5399999999999999E-2</v>
      </c>
      <c r="J454" t="b">
        <v>1</v>
      </c>
    </row>
    <row r="455" spans="1:10" x14ac:dyDescent="0.25">
      <c r="A455" t="s">
        <v>392</v>
      </c>
      <c r="B455">
        <v>3</v>
      </c>
      <c r="C455" t="s">
        <v>62</v>
      </c>
      <c r="D455">
        <v>800</v>
      </c>
      <c r="E455">
        <v>5</v>
      </c>
      <c r="F455">
        <v>3680</v>
      </c>
      <c r="G455">
        <v>66.450100000000006</v>
      </c>
      <c r="H455">
        <v>3680</v>
      </c>
      <c r="I455">
        <v>2.5100000000000001E-2</v>
      </c>
      <c r="J455" t="b">
        <v>1</v>
      </c>
    </row>
    <row r="456" spans="1:10" x14ac:dyDescent="0.25">
      <c r="A456" t="s">
        <v>462</v>
      </c>
      <c r="B456">
        <v>3</v>
      </c>
      <c r="C456" t="s">
        <v>113</v>
      </c>
      <c r="D456">
        <v>800</v>
      </c>
      <c r="E456">
        <v>9</v>
      </c>
      <c r="F456">
        <v>4190</v>
      </c>
      <c r="G456">
        <v>68.965299999999999</v>
      </c>
      <c r="H456">
        <v>4190</v>
      </c>
      <c r="I456">
        <v>2.5000000000000001E-2</v>
      </c>
      <c r="J456" t="b">
        <v>1</v>
      </c>
    </row>
    <row r="457" spans="1:10" x14ac:dyDescent="0.25">
      <c r="A457" t="s">
        <v>493</v>
      </c>
      <c r="B457">
        <v>4</v>
      </c>
      <c r="C457" t="s">
        <v>11</v>
      </c>
      <c r="D457">
        <v>1000</v>
      </c>
      <c r="E457">
        <v>6</v>
      </c>
      <c r="F457">
        <v>4565</v>
      </c>
      <c r="G457">
        <v>132.572</v>
      </c>
      <c r="H457">
        <v>4565</v>
      </c>
      <c r="I457">
        <v>2.5000000000000001E-2</v>
      </c>
      <c r="J457" t="b">
        <v>1</v>
      </c>
    </row>
    <row r="458" spans="1:10" x14ac:dyDescent="0.25">
      <c r="A458" t="s">
        <v>32</v>
      </c>
      <c r="B458">
        <v>1</v>
      </c>
      <c r="C458" t="s">
        <v>11</v>
      </c>
      <c r="D458">
        <v>300</v>
      </c>
      <c r="E458">
        <v>4</v>
      </c>
      <c r="F458">
        <v>1262</v>
      </c>
      <c r="G458">
        <v>0.42570000000000002</v>
      </c>
      <c r="H458">
        <v>1262</v>
      </c>
      <c r="I458">
        <v>2.4400000000000002E-2</v>
      </c>
      <c r="J458" t="b">
        <v>1</v>
      </c>
    </row>
    <row r="459" spans="1:10" x14ac:dyDescent="0.25">
      <c r="A459" t="s">
        <v>134</v>
      </c>
      <c r="B459">
        <v>1</v>
      </c>
      <c r="C459" t="s">
        <v>113</v>
      </c>
      <c r="D459">
        <v>300</v>
      </c>
      <c r="E459">
        <v>4</v>
      </c>
      <c r="F459">
        <v>1797</v>
      </c>
      <c r="G459">
        <v>0.38090000000000002</v>
      </c>
      <c r="H459">
        <v>1797</v>
      </c>
      <c r="I459">
        <v>2.4400000000000002E-2</v>
      </c>
      <c r="J459" t="b">
        <v>1</v>
      </c>
    </row>
    <row r="460" spans="1:10" x14ac:dyDescent="0.25">
      <c r="A460" t="s">
        <v>184</v>
      </c>
      <c r="B460">
        <v>2</v>
      </c>
      <c r="C460" t="s">
        <v>11</v>
      </c>
      <c r="D460">
        <v>300</v>
      </c>
      <c r="E460">
        <v>4</v>
      </c>
      <c r="F460">
        <v>1200</v>
      </c>
      <c r="G460">
        <v>0.79779999999999995</v>
      </c>
      <c r="H460">
        <v>1200</v>
      </c>
      <c r="I460">
        <v>2.4400000000000002E-2</v>
      </c>
      <c r="J460" t="b">
        <v>1</v>
      </c>
    </row>
    <row r="461" spans="1:10" x14ac:dyDescent="0.25">
      <c r="A461" t="s">
        <v>406</v>
      </c>
      <c r="B461">
        <v>3</v>
      </c>
      <c r="C461" t="s">
        <v>62</v>
      </c>
      <c r="D461">
        <v>700</v>
      </c>
      <c r="E461">
        <v>8</v>
      </c>
      <c r="F461">
        <v>3219</v>
      </c>
      <c r="G461">
        <v>19.660900000000002</v>
      </c>
      <c r="H461">
        <v>3219</v>
      </c>
      <c r="I461">
        <v>2.4199999999999999E-2</v>
      </c>
      <c r="J461" t="b">
        <v>1</v>
      </c>
    </row>
    <row r="462" spans="1:10" x14ac:dyDescent="0.25">
      <c r="A462" t="s">
        <v>140</v>
      </c>
      <c r="B462">
        <v>1</v>
      </c>
      <c r="C462" t="s">
        <v>113</v>
      </c>
      <c r="D462">
        <v>500</v>
      </c>
      <c r="E462">
        <v>5</v>
      </c>
      <c r="F462">
        <v>2540</v>
      </c>
      <c r="G462">
        <v>1.98</v>
      </c>
      <c r="H462">
        <v>2540</v>
      </c>
      <c r="I462">
        <v>2.4E-2</v>
      </c>
      <c r="J462" t="b">
        <v>1</v>
      </c>
    </row>
    <row r="463" spans="1:10" x14ac:dyDescent="0.25">
      <c r="A463" t="s">
        <v>164</v>
      </c>
      <c r="B463">
        <v>2</v>
      </c>
      <c r="C463" t="s">
        <v>11</v>
      </c>
      <c r="D463">
        <v>300</v>
      </c>
      <c r="E463">
        <v>10</v>
      </c>
      <c r="F463">
        <v>1235</v>
      </c>
      <c r="G463">
        <v>0.90969999999999995</v>
      </c>
      <c r="H463">
        <v>1235</v>
      </c>
      <c r="I463">
        <v>2.4E-2</v>
      </c>
      <c r="J463" t="b">
        <v>1</v>
      </c>
    </row>
    <row r="464" spans="1:10" x14ac:dyDescent="0.25">
      <c r="A464" t="s">
        <v>179</v>
      </c>
      <c r="B464">
        <v>2</v>
      </c>
      <c r="C464" t="s">
        <v>11</v>
      </c>
      <c r="D464">
        <v>300</v>
      </c>
      <c r="E464">
        <v>3</v>
      </c>
      <c r="F464">
        <v>1220</v>
      </c>
      <c r="G464">
        <v>0.80449999999999999</v>
      </c>
      <c r="H464">
        <v>1220</v>
      </c>
      <c r="I464">
        <v>2.4E-2</v>
      </c>
      <c r="J464" t="b">
        <v>1</v>
      </c>
    </row>
    <row r="465" spans="1:10" x14ac:dyDescent="0.25">
      <c r="A465" t="s">
        <v>284</v>
      </c>
      <c r="B465">
        <v>2</v>
      </c>
      <c r="C465" t="s">
        <v>113</v>
      </c>
      <c r="D465">
        <v>300</v>
      </c>
      <c r="E465">
        <v>4</v>
      </c>
      <c r="F465">
        <v>1684</v>
      </c>
      <c r="G465">
        <v>0.84799999999999998</v>
      </c>
      <c r="H465">
        <v>1684</v>
      </c>
      <c r="I465">
        <v>2.4E-2</v>
      </c>
      <c r="J465" t="b">
        <v>1</v>
      </c>
    </row>
    <row r="466" spans="1:10" x14ac:dyDescent="0.25">
      <c r="A466" t="s">
        <v>322</v>
      </c>
      <c r="B466">
        <v>3</v>
      </c>
      <c r="C466" t="s">
        <v>11</v>
      </c>
      <c r="D466">
        <v>800</v>
      </c>
      <c r="E466">
        <v>1</v>
      </c>
      <c r="F466">
        <v>3560</v>
      </c>
      <c r="G466">
        <v>81.100499999999997</v>
      </c>
      <c r="H466">
        <v>3560</v>
      </c>
      <c r="I466">
        <v>2.4E-2</v>
      </c>
      <c r="J466" t="b">
        <v>1</v>
      </c>
    </row>
    <row r="467" spans="1:10" x14ac:dyDescent="0.25">
      <c r="A467" t="s">
        <v>361</v>
      </c>
      <c r="B467">
        <v>3</v>
      </c>
      <c r="C467" t="s">
        <v>11</v>
      </c>
      <c r="D467">
        <v>700</v>
      </c>
      <c r="E467">
        <v>9</v>
      </c>
      <c r="F467">
        <v>3265</v>
      </c>
      <c r="G467">
        <v>26.3917</v>
      </c>
      <c r="H467">
        <v>3265</v>
      </c>
      <c r="I467">
        <v>2.4E-2</v>
      </c>
      <c r="J467" t="b">
        <v>1</v>
      </c>
    </row>
    <row r="468" spans="1:10" x14ac:dyDescent="0.25">
      <c r="A468" t="s">
        <v>445</v>
      </c>
      <c r="B468">
        <v>3</v>
      </c>
      <c r="C468" t="s">
        <v>113</v>
      </c>
      <c r="D468">
        <v>500</v>
      </c>
      <c r="E468">
        <v>6</v>
      </c>
      <c r="F468">
        <v>2620</v>
      </c>
      <c r="G468">
        <v>7.1874000000000002</v>
      </c>
      <c r="H468">
        <v>2620</v>
      </c>
      <c r="I468">
        <v>2.4E-2</v>
      </c>
      <c r="J468" t="b">
        <v>1</v>
      </c>
    </row>
    <row r="469" spans="1:10" x14ac:dyDescent="0.25">
      <c r="A469" t="s">
        <v>415</v>
      </c>
      <c r="B469">
        <v>3</v>
      </c>
      <c r="C469" t="s">
        <v>113</v>
      </c>
      <c r="D469">
        <v>500</v>
      </c>
      <c r="E469">
        <v>10</v>
      </c>
      <c r="F469">
        <v>2874</v>
      </c>
      <c r="G469">
        <v>6.8623000000000003</v>
      </c>
      <c r="H469">
        <v>2874</v>
      </c>
      <c r="I469">
        <v>2.3900000000000001E-2</v>
      </c>
      <c r="J469" t="b">
        <v>1</v>
      </c>
    </row>
    <row r="470" spans="1:10" x14ac:dyDescent="0.25">
      <c r="A470" t="s">
        <v>610</v>
      </c>
      <c r="B470">
        <v>4</v>
      </c>
      <c r="C470" t="s">
        <v>113</v>
      </c>
      <c r="D470">
        <v>500</v>
      </c>
      <c r="E470">
        <v>9</v>
      </c>
      <c r="F470">
        <v>2632</v>
      </c>
      <c r="G470">
        <v>5.0159000000000002</v>
      </c>
      <c r="H470">
        <v>2632</v>
      </c>
      <c r="I470">
        <v>2.3900000000000001E-2</v>
      </c>
      <c r="J470" t="b">
        <v>1</v>
      </c>
    </row>
    <row r="471" spans="1:10" x14ac:dyDescent="0.25">
      <c r="A471" t="s">
        <v>550</v>
      </c>
      <c r="B471">
        <v>4</v>
      </c>
      <c r="C471" t="s">
        <v>62</v>
      </c>
      <c r="D471">
        <v>500</v>
      </c>
      <c r="E471">
        <v>7</v>
      </c>
      <c r="F471">
        <v>2152</v>
      </c>
      <c r="G471">
        <v>5.8021000000000003</v>
      </c>
      <c r="H471">
        <v>2152</v>
      </c>
      <c r="I471">
        <v>2.3300000000000001E-2</v>
      </c>
      <c r="J471" t="b">
        <v>1</v>
      </c>
    </row>
    <row r="472" spans="1:10" x14ac:dyDescent="0.25">
      <c r="A472" t="s">
        <v>520</v>
      </c>
      <c r="B472">
        <v>4</v>
      </c>
      <c r="C472" t="s">
        <v>62</v>
      </c>
      <c r="D472">
        <v>500</v>
      </c>
      <c r="E472">
        <v>1</v>
      </c>
      <c r="F472">
        <v>2305</v>
      </c>
      <c r="G472">
        <v>6.5547000000000004</v>
      </c>
      <c r="H472">
        <v>2305</v>
      </c>
      <c r="I472">
        <v>2.3199999999999998E-2</v>
      </c>
      <c r="J472" t="b">
        <v>1</v>
      </c>
    </row>
    <row r="473" spans="1:10" x14ac:dyDescent="0.25">
      <c r="A473" t="s">
        <v>309</v>
      </c>
      <c r="B473">
        <v>2</v>
      </c>
      <c r="C473" t="s">
        <v>113</v>
      </c>
      <c r="D473">
        <v>300</v>
      </c>
      <c r="E473">
        <v>9</v>
      </c>
      <c r="F473">
        <v>1366</v>
      </c>
      <c r="G473">
        <v>0.81240000000000001</v>
      </c>
      <c r="H473">
        <v>1366</v>
      </c>
      <c r="I473">
        <v>2.3099999999999999E-2</v>
      </c>
      <c r="J473" t="b">
        <v>1</v>
      </c>
    </row>
    <row r="474" spans="1:10" x14ac:dyDescent="0.25">
      <c r="A474" t="s">
        <v>22</v>
      </c>
      <c r="B474">
        <v>1</v>
      </c>
      <c r="C474" t="s">
        <v>11</v>
      </c>
      <c r="D474">
        <v>300</v>
      </c>
      <c r="E474">
        <v>2</v>
      </c>
      <c r="F474">
        <v>1365</v>
      </c>
      <c r="G474">
        <v>0.45979999999999999</v>
      </c>
      <c r="H474">
        <v>1365</v>
      </c>
      <c r="I474">
        <v>2.3E-2</v>
      </c>
      <c r="J474" t="b">
        <v>1</v>
      </c>
    </row>
    <row r="475" spans="1:10" x14ac:dyDescent="0.25">
      <c r="A475" t="s">
        <v>144</v>
      </c>
      <c r="B475">
        <v>1</v>
      </c>
      <c r="C475" t="s">
        <v>113</v>
      </c>
      <c r="D475">
        <v>300</v>
      </c>
      <c r="E475">
        <v>6</v>
      </c>
      <c r="F475">
        <v>1637</v>
      </c>
      <c r="G475">
        <v>0.3805</v>
      </c>
      <c r="H475">
        <v>1637</v>
      </c>
      <c r="I475">
        <v>2.3E-2</v>
      </c>
      <c r="J475" t="b">
        <v>1</v>
      </c>
    </row>
    <row r="476" spans="1:10" x14ac:dyDescent="0.25">
      <c r="A476" t="s">
        <v>225</v>
      </c>
      <c r="B476">
        <v>2</v>
      </c>
      <c r="C476" t="s">
        <v>62</v>
      </c>
      <c r="D476">
        <v>500</v>
      </c>
      <c r="E476">
        <v>2</v>
      </c>
      <c r="F476">
        <v>1726</v>
      </c>
      <c r="G476">
        <v>2.5167999999999999</v>
      </c>
      <c r="H476">
        <v>1726</v>
      </c>
      <c r="I476">
        <v>2.29E-2</v>
      </c>
      <c r="J476" t="b">
        <v>1</v>
      </c>
    </row>
    <row r="477" spans="1:10" x14ac:dyDescent="0.25">
      <c r="A477" t="s">
        <v>587</v>
      </c>
      <c r="B477">
        <v>4</v>
      </c>
      <c r="C477" t="s">
        <v>113</v>
      </c>
      <c r="D477">
        <v>800</v>
      </c>
      <c r="E477">
        <v>4</v>
      </c>
      <c r="F477">
        <v>4280</v>
      </c>
      <c r="G477">
        <v>56.9895</v>
      </c>
      <c r="H477">
        <v>4280</v>
      </c>
      <c r="I477">
        <v>2.29E-2</v>
      </c>
      <c r="J477" t="b">
        <v>1</v>
      </c>
    </row>
    <row r="478" spans="1:10" x14ac:dyDescent="0.25">
      <c r="A478" t="s">
        <v>154</v>
      </c>
      <c r="B478">
        <v>1</v>
      </c>
      <c r="C478" t="s">
        <v>113</v>
      </c>
      <c r="D478">
        <v>300</v>
      </c>
      <c r="E478">
        <v>8</v>
      </c>
      <c r="F478">
        <v>1588</v>
      </c>
      <c r="G478">
        <v>0.42780000000000001</v>
      </c>
      <c r="H478">
        <v>1588</v>
      </c>
      <c r="I478">
        <v>2.2599999999999999E-2</v>
      </c>
      <c r="J478" t="b">
        <v>1</v>
      </c>
    </row>
    <row r="479" spans="1:10" x14ac:dyDescent="0.25">
      <c r="A479" t="s">
        <v>605</v>
      </c>
      <c r="B479">
        <v>4</v>
      </c>
      <c r="C479" t="s">
        <v>113</v>
      </c>
      <c r="D479">
        <v>500</v>
      </c>
      <c r="E479">
        <v>8</v>
      </c>
      <c r="F479">
        <v>2769</v>
      </c>
      <c r="G479">
        <v>5.2262000000000004</v>
      </c>
      <c r="H479">
        <v>2769</v>
      </c>
      <c r="I479">
        <v>2.2599999999999999E-2</v>
      </c>
      <c r="J479" t="b">
        <v>1</v>
      </c>
    </row>
    <row r="480" spans="1:10" x14ac:dyDescent="0.25">
      <c r="A480" t="s">
        <v>234</v>
      </c>
      <c r="B480">
        <v>2</v>
      </c>
      <c r="C480" t="s">
        <v>62</v>
      </c>
      <c r="D480">
        <v>300</v>
      </c>
      <c r="E480">
        <v>4</v>
      </c>
      <c r="F480">
        <v>1221</v>
      </c>
      <c r="G480">
        <v>0.89129999999999998</v>
      </c>
      <c r="H480">
        <v>1221</v>
      </c>
      <c r="I480">
        <v>2.2499999999999999E-2</v>
      </c>
      <c r="J480" t="b">
        <v>1</v>
      </c>
    </row>
    <row r="481" spans="1:10" x14ac:dyDescent="0.25">
      <c r="A481" t="s">
        <v>380</v>
      </c>
      <c r="B481">
        <v>3</v>
      </c>
      <c r="C481" t="s">
        <v>62</v>
      </c>
      <c r="D481">
        <v>500</v>
      </c>
      <c r="E481">
        <v>3</v>
      </c>
      <c r="F481">
        <v>2209</v>
      </c>
      <c r="G481">
        <v>6.7725</v>
      </c>
      <c r="H481">
        <v>2209</v>
      </c>
      <c r="I481">
        <v>2.2499999999999999E-2</v>
      </c>
      <c r="J481" t="b">
        <v>1</v>
      </c>
    </row>
    <row r="482" spans="1:10" x14ac:dyDescent="0.25">
      <c r="A482" t="s">
        <v>527</v>
      </c>
      <c r="B482">
        <v>4</v>
      </c>
      <c r="C482" t="s">
        <v>62</v>
      </c>
      <c r="D482">
        <v>800</v>
      </c>
      <c r="E482">
        <v>2</v>
      </c>
      <c r="F482">
        <v>3604</v>
      </c>
      <c r="G482">
        <v>69.628100000000003</v>
      </c>
      <c r="H482">
        <v>3604</v>
      </c>
      <c r="I482">
        <v>2.24E-2</v>
      </c>
      <c r="J482" t="b">
        <v>1</v>
      </c>
    </row>
    <row r="483" spans="1:10" x14ac:dyDescent="0.25">
      <c r="A483" t="s">
        <v>475</v>
      </c>
      <c r="B483">
        <v>4</v>
      </c>
      <c r="C483" t="s">
        <v>11</v>
      </c>
      <c r="D483">
        <v>500</v>
      </c>
      <c r="E483">
        <v>2</v>
      </c>
      <c r="F483">
        <v>2285</v>
      </c>
      <c r="G483">
        <v>7.3052000000000001</v>
      </c>
      <c r="H483">
        <v>2285</v>
      </c>
      <c r="I483">
        <v>2.23E-2</v>
      </c>
      <c r="J483" t="b">
        <v>1</v>
      </c>
    </row>
    <row r="484" spans="1:10" x14ac:dyDescent="0.25">
      <c r="A484" t="s">
        <v>584</v>
      </c>
      <c r="B484">
        <v>4</v>
      </c>
      <c r="C484" t="s">
        <v>113</v>
      </c>
      <c r="D484">
        <v>300</v>
      </c>
      <c r="E484">
        <v>4</v>
      </c>
      <c r="F484">
        <v>1881</v>
      </c>
      <c r="G484">
        <v>0.67300000000000004</v>
      </c>
      <c r="H484">
        <v>1881</v>
      </c>
      <c r="I484">
        <v>2.2200000000000001E-2</v>
      </c>
      <c r="J484" t="b">
        <v>1</v>
      </c>
    </row>
    <row r="485" spans="1:10" x14ac:dyDescent="0.25">
      <c r="A485" t="s">
        <v>47</v>
      </c>
      <c r="B485">
        <v>1</v>
      </c>
      <c r="C485" t="s">
        <v>11</v>
      </c>
      <c r="D485">
        <v>300</v>
      </c>
      <c r="E485">
        <v>7</v>
      </c>
      <c r="F485">
        <v>1355</v>
      </c>
      <c r="G485">
        <v>0.37680000000000002</v>
      </c>
      <c r="H485">
        <v>1355</v>
      </c>
      <c r="I485">
        <v>2.1999999999999999E-2</v>
      </c>
      <c r="J485" t="b">
        <v>1</v>
      </c>
    </row>
    <row r="486" spans="1:10" x14ac:dyDescent="0.25">
      <c r="A486" t="s">
        <v>269</v>
      </c>
      <c r="B486">
        <v>2</v>
      </c>
      <c r="C486" t="s">
        <v>113</v>
      </c>
      <c r="D486">
        <v>300</v>
      </c>
      <c r="E486">
        <v>1</v>
      </c>
      <c r="F486">
        <v>1366</v>
      </c>
      <c r="G486">
        <v>0.85950000000000004</v>
      </c>
      <c r="H486">
        <v>1366</v>
      </c>
      <c r="I486">
        <v>2.1999999999999999E-2</v>
      </c>
      <c r="J486" t="b">
        <v>1</v>
      </c>
    </row>
    <row r="487" spans="1:10" x14ac:dyDescent="0.25">
      <c r="A487" t="s">
        <v>324</v>
      </c>
      <c r="B487">
        <v>3</v>
      </c>
      <c r="C487" t="s">
        <v>11</v>
      </c>
      <c r="D487">
        <v>300</v>
      </c>
      <c r="E487">
        <v>2</v>
      </c>
      <c r="F487">
        <v>1405</v>
      </c>
      <c r="G487">
        <v>0.42080000000000001</v>
      </c>
      <c r="H487">
        <v>1405</v>
      </c>
      <c r="I487">
        <v>2.1999999999999999E-2</v>
      </c>
      <c r="J487" t="b">
        <v>1</v>
      </c>
    </row>
    <row r="488" spans="1:10" x14ac:dyDescent="0.25">
      <c r="A488" t="s">
        <v>245</v>
      </c>
      <c r="B488">
        <v>2</v>
      </c>
      <c r="C488" t="s">
        <v>62</v>
      </c>
      <c r="D488">
        <v>500</v>
      </c>
      <c r="E488">
        <v>6</v>
      </c>
      <c r="F488">
        <v>1632</v>
      </c>
      <c r="G488">
        <v>2.5249000000000001</v>
      </c>
      <c r="H488">
        <v>1632</v>
      </c>
      <c r="I488">
        <v>2.1499999999999998E-2</v>
      </c>
      <c r="J488" t="b">
        <v>1</v>
      </c>
    </row>
    <row r="489" spans="1:10" x14ac:dyDescent="0.25">
      <c r="A489" t="s">
        <v>549</v>
      </c>
      <c r="B489">
        <v>4</v>
      </c>
      <c r="C489" t="s">
        <v>62</v>
      </c>
      <c r="D489">
        <v>300</v>
      </c>
      <c r="E489">
        <v>7</v>
      </c>
      <c r="F489">
        <v>1425</v>
      </c>
      <c r="G489">
        <v>0.73819999999999997</v>
      </c>
      <c r="H489">
        <v>1425</v>
      </c>
      <c r="I489">
        <v>2.1499999999999998E-2</v>
      </c>
      <c r="J489" t="b">
        <v>1</v>
      </c>
    </row>
    <row r="490" spans="1:10" x14ac:dyDescent="0.25">
      <c r="A490" t="s">
        <v>352</v>
      </c>
      <c r="B490">
        <v>3</v>
      </c>
      <c r="C490" t="s">
        <v>11</v>
      </c>
      <c r="D490">
        <v>800</v>
      </c>
      <c r="E490">
        <v>7</v>
      </c>
      <c r="F490">
        <v>3670</v>
      </c>
      <c r="G490">
        <v>79.501800000000003</v>
      </c>
      <c r="H490">
        <v>3670</v>
      </c>
      <c r="I490">
        <v>2.1399999999999999E-2</v>
      </c>
      <c r="J490" t="b">
        <v>1</v>
      </c>
    </row>
    <row r="491" spans="1:10" x14ac:dyDescent="0.25">
      <c r="A491" t="s">
        <v>611</v>
      </c>
      <c r="B491">
        <v>4</v>
      </c>
      <c r="C491" t="s">
        <v>113</v>
      </c>
      <c r="D491">
        <v>700</v>
      </c>
      <c r="E491">
        <v>9</v>
      </c>
      <c r="F491">
        <v>3743</v>
      </c>
      <c r="G491">
        <v>20.951899999999998</v>
      </c>
      <c r="H491">
        <v>3743</v>
      </c>
      <c r="I491">
        <v>2.1399999999999999E-2</v>
      </c>
      <c r="J491" t="b">
        <v>1</v>
      </c>
    </row>
    <row r="492" spans="1:10" x14ac:dyDescent="0.25">
      <c r="A492" t="s">
        <v>159</v>
      </c>
      <c r="B492">
        <v>1</v>
      </c>
      <c r="C492" t="s">
        <v>113</v>
      </c>
      <c r="D492">
        <v>300</v>
      </c>
      <c r="E492">
        <v>9</v>
      </c>
      <c r="F492">
        <v>1533</v>
      </c>
      <c r="G492">
        <v>0.46560000000000001</v>
      </c>
      <c r="H492">
        <v>1533</v>
      </c>
      <c r="I492">
        <v>2.1299999999999999E-2</v>
      </c>
      <c r="J492" t="b">
        <v>1</v>
      </c>
    </row>
    <row r="493" spans="1:10" x14ac:dyDescent="0.25">
      <c r="A493" t="s">
        <v>572</v>
      </c>
      <c r="B493">
        <v>4</v>
      </c>
      <c r="C493" t="s">
        <v>113</v>
      </c>
      <c r="D493">
        <v>800</v>
      </c>
      <c r="E493">
        <v>1</v>
      </c>
      <c r="F493">
        <v>4191</v>
      </c>
      <c r="G493">
        <v>67.804100000000005</v>
      </c>
      <c r="H493">
        <v>4191</v>
      </c>
      <c r="I493">
        <v>2.1299999999999999E-2</v>
      </c>
      <c r="J493" t="b">
        <v>1</v>
      </c>
    </row>
    <row r="494" spans="1:10" x14ac:dyDescent="0.25">
      <c r="A494" t="s">
        <v>581</v>
      </c>
      <c r="B494">
        <v>4</v>
      </c>
      <c r="C494" t="s">
        <v>113</v>
      </c>
      <c r="D494">
        <v>700</v>
      </c>
      <c r="E494">
        <v>3</v>
      </c>
      <c r="F494">
        <v>3778</v>
      </c>
      <c r="G494">
        <v>22.117599999999999</v>
      </c>
      <c r="H494">
        <v>3778</v>
      </c>
      <c r="I494">
        <v>2.1100000000000001E-2</v>
      </c>
      <c r="J494" t="b">
        <v>1</v>
      </c>
    </row>
    <row r="495" spans="1:10" x14ac:dyDescent="0.25">
      <c r="A495" t="s">
        <v>358</v>
      </c>
      <c r="B495">
        <v>3</v>
      </c>
      <c r="C495" t="s">
        <v>11</v>
      </c>
      <c r="D495">
        <v>1000</v>
      </c>
      <c r="E495">
        <v>9</v>
      </c>
      <c r="F495">
        <v>4470</v>
      </c>
      <c r="G495">
        <v>172.5273</v>
      </c>
      <c r="H495">
        <v>4470</v>
      </c>
      <c r="I495">
        <v>2.1000000000000001E-2</v>
      </c>
      <c r="J495" t="b">
        <v>1</v>
      </c>
    </row>
    <row r="496" spans="1:10" x14ac:dyDescent="0.25">
      <c r="A496" t="s">
        <v>397</v>
      </c>
      <c r="B496">
        <v>3</v>
      </c>
      <c r="C496" t="s">
        <v>62</v>
      </c>
      <c r="D496">
        <v>800</v>
      </c>
      <c r="E496">
        <v>6</v>
      </c>
      <c r="F496">
        <v>3590</v>
      </c>
      <c r="G496">
        <v>66.187899999999999</v>
      </c>
      <c r="H496">
        <v>3590</v>
      </c>
      <c r="I496">
        <v>2.1000000000000001E-2</v>
      </c>
      <c r="J496" t="b">
        <v>1</v>
      </c>
    </row>
    <row r="497" spans="1:10" x14ac:dyDescent="0.25">
      <c r="A497" t="s">
        <v>461</v>
      </c>
      <c r="B497">
        <v>3</v>
      </c>
      <c r="C497" t="s">
        <v>113</v>
      </c>
      <c r="D497">
        <v>700</v>
      </c>
      <c r="E497">
        <v>9</v>
      </c>
      <c r="F497">
        <v>3785</v>
      </c>
      <c r="G497">
        <v>20.903700000000001</v>
      </c>
      <c r="H497">
        <v>3785</v>
      </c>
      <c r="I497">
        <v>2.1000000000000001E-2</v>
      </c>
      <c r="J497" t="b">
        <v>1</v>
      </c>
    </row>
    <row r="498" spans="1:10" x14ac:dyDescent="0.25">
      <c r="A498" t="s">
        <v>17</v>
      </c>
      <c r="B498">
        <v>1</v>
      </c>
      <c r="C498" t="s">
        <v>11</v>
      </c>
      <c r="D498">
        <v>300</v>
      </c>
      <c r="E498">
        <v>1</v>
      </c>
      <c r="F498">
        <v>1249</v>
      </c>
      <c r="G498">
        <v>0.43880000000000002</v>
      </c>
      <c r="H498">
        <v>1249</v>
      </c>
      <c r="I498">
        <v>2.0299999999999999E-2</v>
      </c>
      <c r="J498" t="b">
        <v>1</v>
      </c>
    </row>
    <row r="499" spans="1:10" x14ac:dyDescent="0.25">
      <c r="A499" t="s">
        <v>545</v>
      </c>
      <c r="B499">
        <v>4</v>
      </c>
      <c r="C499" t="s">
        <v>62</v>
      </c>
      <c r="D499">
        <v>500</v>
      </c>
      <c r="E499">
        <v>6</v>
      </c>
      <c r="F499">
        <v>2335</v>
      </c>
      <c r="G499">
        <v>4.9606000000000003</v>
      </c>
      <c r="H499">
        <v>2335</v>
      </c>
      <c r="I499">
        <v>2.0299999999999999E-2</v>
      </c>
      <c r="J499" t="b">
        <v>1</v>
      </c>
    </row>
    <row r="500" spans="1:10" x14ac:dyDescent="0.25">
      <c r="A500" t="s">
        <v>570</v>
      </c>
      <c r="B500">
        <v>4</v>
      </c>
      <c r="C500" t="s">
        <v>113</v>
      </c>
      <c r="D500">
        <v>500</v>
      </c>
      <c r="E500">
        <v>1</v>
      </c>
      <c r="F500">
        <v>2760</v>
      </c>
      <c r="G500">
        <v>4.6265999999999998</v>
      </c>
      <c r="H500">
        <v>2760</v>
      </c>
      <c r="I500">
        <v>2.01E-2</v>
      </c>
      <c r="J500" t="b">
        <v>1</v>
      </c>
    </row>
    <row r="501" spans="1:10" x14ac:dyDescent="0.25">
      <c r="A501" t="s">
        <v>114</v>
      </c>
      <c r="B501">
        <v>1</v>
      </c>
      <c r="C501" t="s">
        <v>113</v>
      </c>
      <c r="D501">
        <v>300</v>
      </c>
      <c r="E501">
        <v>10</v>
      </c>
      <c r="F501">
        <v>1621</v>
      </c>
      <c r="G501">
        <v>0.40839999999999999</v>
      </c>
      <c r="H501">
        <v>1621</v>
      </c>
      <c r="I501">
        <v>0.02</v>
      </c>
      <c r="J501" t="b">
        <v>1</v>
      </c>
    </row>
    <row r="502" spans="1:10" x14ac:dyDescent="0.25">
      <c r="A502" t="s">
        <v>373</v>
      </c>
      <c r="B502">
        <v>3</v>
      </c>
      <c r="C502" t="s">
        <v>62</v>
      </c>
      <c r="D502">
        <v>1000</v>
      </c>
      <c r="E502">
        <v>2</v>
      </c>
      <c r="F502">
        <v>4580</v>
      </c>
      <c r="G502">
        <v>174.20930000000001</v>
      </c>
      <c r="H502">
        <v>4580</v>
      </c>
      <c r="I502">
        <v>0.02</v>
      </c>
      <c r="J502" t="b">
        <v>1</v>
      </c>
    </row>
    <row r="503" spans="1:10" x14ac:dyDescent="0.25">
      <c r="A503" t="s">
        <v>391</v>
      </c>
      <c r="B503">
        <v>3</v>
      </c>
      <c r="C503" t="s">
        <v>62</v>
      </c>
      <c r="D503">
        <v>700</v>
      </c>
      <c r="E503">
        <v>5</v>
      </c>
      <c r="F503">
        <v>3255</v>
      </c>
      <c r="G503">
        <v>26.069299999999998</v>
      </c>
      <c r="H503">
        <v>3255</v>
      </c>
      <c r="I503">
        <v>0.02</v>
      </c>
      <c r="J503" t="b">
        <v>1</v>
      </c>
    </row>
    <row r="504" spans="1:10" x14ac:dyDescent="0.25">
      <c r="A504" t="s">
        <v>416</v>
      </c>
      <c r="B504">
        <v>3</v>
      </c>
      <c r="C504" t="s">
        <v>113</v>
      </c>
      <c r="D504">
        <v>700</v>
      </c>
      <c r="E504">
        <v>10</v>
      </c>
      <c r="F504">
        <v>3808</v>
      </c>
      <c r="G504">
        <v>25.285399999999999</v>
      </c>
      <c r="H504">
        <v>3808</v>
      </c>
      <c r="I504">
        <v>0.02</v>
      </c>
      <c r="J504" t="b">
        <v>1</v>
      </c>
    </row>
    <row r="505" spans="1:10" x14ac:dyDescent="0.25">
      <c r="A505" t="s">
        <v>456</v>
      </c>
      <c r="B505">
        <v>3</v>
      </c>
      <c r="C505" t="s">
        <v>113</v>
      </c>
      <c r="D505">
        <v>700</v>
      </c>
      <c r="E505">
        <v>8</v>
      </c>
      <c r="F505">
        <v>4056</v>
      </c>
      <c r="G505">
        <v>21.513500000000001</v>
      </c>
      <c r="H505">
        <v>4056</v>
      </c>
      <c r="I505">
        <v>0.02</v>
      </c>
      <c r="J505" t="b">
        <v>1</v>
      </c>
    </row>
    <row r="506" spans="1:10" x14ac:dyDescent="0.25">
      <c r="A506" t="s">
        <v>467</v>
      </c>
      <c r="B506">
        <v>4</v>
      </c>
      <c r="C506" t="s">
        <v>11</v>
      </c>
      <c r="D506">
        <v>800</v>
      </c>
      <c r="E506">
        <v>10</v>
      </c>
      <c r="F506">
        <v>3636</v>
      </c>
      <c r="G506">
        <v>67.090199999999996</v>
      </c>
      <c r="H506">
        <v>3636</v>
      </c>
      <c r="I506">
        <v>0.02</v>
      </c>
      <c r="J506" t="b">
        <v>1</v>
      </c>
    </row>
    <row r="507" spans="1:10" x14ac:dyDescent="0.25">
      <c r="A507" t="s">
        <v>486</v>
      </c>
      <c r="B507">
        <v>4</v>
      </c>
      <c r="C507" t="s">
        <v>11</v>
      </c>
      <c r="D507">
        <v>700</v>
      </c>
      <c r="E507">
        <v>4</v>
      </c>
      <c r="F507">
        <v>3205</v>
      </c>
      <c r="G507">
        <v>20.739599999999999</v>
      </c>
      <c r="H507">
        <v>3205</v>
      </c>
      <c r="I507">
        <v>0.02</v>
      </c>
      <c r="J507" t="b">
        <v>1</v>
      </c>
    </row>
    <row r="508" spans="1:10" x14ac:dyDescent="0.25">
      <c r="A508" t="s">
        <v>563</v>
      </c>
      <c r="B508">
        <v>4</v>
      </c>
      <c r="C508" t="s">
        <v>113</v>
      </c>
      <c r="D508">
        <v>1000</v>
      </c>
      <c r="E508">
        <v>10</v>
      </c>
      <c r="F508">
        <v>5598</v>
      </c>
      <c r="G508">
        <v>151.35749999999999</v>
      </c>
      <c r="H508">
        <v>5598</v>
      </c>
      <c r="I508">
        <v>1.9800000000000002E-2</v>
      </c>
      <c r="J508" t="b">
        <v>1</v>
      </c>
    </row>
    <row r="509" spans="1:10" x14ac:dyDescent="0.25">
      <c r="A509" t="s">
        <v>571</v>
      </c>
      <c r="B509">
        <v>4</v>
      </c>
      <c r="C509" t="s">
        <v>113</v>
      </c>
      <c r="D509">
        <v>700</v>
      </c>
      <c r="E509">
        <v>1</v>
      </c>
      <c r="F509">
        <v>3613</v>
      </c>
      <c r="G509">
        <v>22.252199999999998</v>
      </c>
      <c r="H509">
        <v>3613</v>
      </c>
      <c r="I509">
        <v>1.9800000000000002E-2</v>
      </c>
      <c r="J509" t="b">
        <v>1</v>
      </c>
    </row>
    <row r="510" spans="1:10" x14ac:dyDescent="0.25">
      <c r="A510" t="s">
        <v>607</v>
      </c>
      <c r="B510">
        <v>4</v>
      </c>
      <c r="C510" t="s">
        <v>113</v>
      </c>
      <c r="D510">
        <v>800</v>
      </c>
      <c r="E510">
        <v>8</v>
      </c>
      <c r="F510">
        <v>4465</v>
      </c>
      <c r="G510">
        <v>62.738999999999997</v>
      </c>
      <c r="H510">
        <v>4465</v>
      </c>
      <c r="I510">
        <v>1.9800000000000002E-2</v>
      </c>
      <c r="J510" t="b">
        <v>1</v>
      </c>
    </row>
    <row r="511" spans="1:10" x14ac:dyDescent="0.25">
      <c r="A511" t="s">
        <v>591</v>
      </c>
      <c r="B511">
        <v>4</v>
      </c>
      <c r="C511" t="s">
        <v>113</v>
      </c>
      <c r="D511">
        <v>700</v>
      </c>
      <c r="E511">
        <v>5</v>
      </c>
      <c r="F511">
        <v>3672</v>
      </c>
      <c r="G511">
        <v>22.635200000000001</v>
      </c>
      <c r="H511">
        <v>3672</v>
      </c>
      <c r="I511">
        <v>1.95E-2</v>
      </c>
      <c r="J511" t="b">
        <v>1</v>
      </c>
    </row>
    <row r="512" spans="1:10" x14ac:dyDescent="0.25">
      <c r="A512" t="s">
        <v>595</v>
      </c>
      <c r="B512">
        <v>4</v>
      </c>
      <c r="C512" t="s">
        <v>113</v>
      </c>
      <c r="D512">
        <v>500</v>
      </c>
      <c r="E512">
        <v>6</v>
      </c>
      <c r="F512">
        <v>2627</v>
      </c>
      <c r="G512">
        <v>4.2641</v>
      </c>
      <c r="H512">
        <v>2627</v>
      </c>
      <c r="I512">
        <v>1.95E-2</v>
      </c>
      <c r="J512" t="b">
        <v>1</v>
      </c>
    </row>
    <row r="513" spans="1:10" x14ac:dyDescent="0.25">
      <c r="A513" t="s">
        <v>364</v>
      </c>
      <c r="B513">
        <v>3</v>
      </c>
      <c r="C513" t="s">
        <v>62</v>
      </c>
      <c r="D513">
        <v>300</v>
      </c>
      <c r="E513">
        <v>10</v>
      </c>
      <c r="F513">
        <v>1321</v>
      </c>
      <c r="G513">
        <v>0.41220000000000001</v>
      </c>
      <c r="H513">
        <v>1321</v>
      </c>
      <c r="I513">
        <v>1.9300000000000001E-2</v>
      </c>
      <c r="J513" t="b">
        <v>1</v>
      </c>
    </row>
    <row r="514" spans="1:10" x14ac:dyDescent="0.25">
      <c r="A514" t="s">
        <v>500</v>
      </c>
      <c r="B514">
        <v>4</v>
      </c>
      <c r="C514" t="s">
        <v>11</v>
      </c>
      <c r="D514">
        <v>500</v>
      </c>
      <c r="E514">
        <v>7</v>
      </c>
      <c r="F514">
        <v>2235</v>
      </c>
      <c r="G514">
        <v>5.6947999999999999</v>
      </c>
      <c r="H514">
        <v>2235</v>
      </c>
      <c r="I514">
        <v>1.9300000000000001E-2</v>
      </c>
      <c r="J514" t="b">
        <v>1</v>
      </c>
    </row>
    <row r="515" spans="1:10" x14ac:dyDescent="0.25">
      <c r="A515" t="s">
        <v>494</v>
      </c>
      <c r="B515">
        <v>4</v>
      </c>
      <c r="C515" t="s">
        <v>11</v>
      </c>
      <c r="D515">
        <v>300</v>
      </c>
      <c r="E515">
        <v>6</v>
      </c>
      <c r="F515">
        <v>1315</v>
      </c>
      <c r="G515">
        <v>0.79569999999999996</v>
      </c>
      <c r="H515">
        <v>1315</v>
      </c>
      <c r="I515">
        <v>1.9199999999999998E-2</v>
      </c>
      <c r="J515" t="b">
        <v>1</v>
      </c>
    </row>
    <row r="516" spans="1:10" x14ac:dyDescent="0.25">
      <c r="A516" t="s">
        <v>73</v>
      </c>
      <c r="B516">
        <v>1</v>
      </c>
      <c r="C516" t="s">
        <v>62</v>
      </c>
      <c r="D516">
        <v>300</v>
      </c>
      <c r="E516">
        <v>2</v>
      </c>
      <c r="F516">
        <v>1359</v>
      </c>
      <c r="G516">
        <v>0.43140000000000001</v>
      </c>
      <c r="H516">
        <v>1359</v>
      </c>
      <c r="I516">
        <v>1.9099999999999999E-2</v>
      </c>
      <c r="J516" t="b">
        <v>1</v>
      </c>
    </row>
    <row r="517" spans="1:10" x14ac:dyDescent="0.25">
      <c r="A517" t="s">
        <v>169</v>
      </c>
      <c r="B517">
        <v>2</v>
      </c>
      <c r="C517" t="s">
        <v>11</v>
      </c>
      <c r="D517">
        <v>300</v>
      </c>
      <c r="E517">
        <v>1</v>
      </c>
      <c r="F517">
        <v>1161</v>
      </c>
      <c r="G517">
        <v>0.84860000000000002</v>
      </c>
      <c r="H517">
        <v>1161</v>
      </c>
      <c r="I517">
        <v>1.9099999999999999E-2</v>
      </c>
      <c r="J517" t="b">
        <v>1</v>
      </c>
    </row>
    <row r="518" spans="1:10" x14ac:dyDescent="0.25">
      <c r="A518" t="s">
        <v>444</v>
      </c>
      <c r="B518">
        <v>3</v>
      </c>
      <c r="C518" t="s">
        <v>113</v>
      </c>
      <c r="D518">
        <v>300</v>
      </c>
      <c r="E518">
        <v>6</v>
      </c>
      <c r="F518">
        <v>1670</v>
      </c>
      <c r="G518">
        <v>0.36559999999999998</v>
      </c>
      <c r="H518">
        <v>1670</v>
      </c>
      <c r="I518">
        <v>1.8499999999999999E-2</v>
      </c>
      <c r="J518" t="b">
        <v>1</v>
      </c>
    </row>
    <row r="519" spans="1:10" x14ac:dyDescent="0.25">
      <c r="A519" t="s">
        <v>421</v>
      </c>
      <c r="B519">
        <v>3</v>
      </c>
      <c r="C519" t="s">
        <v>113</v>
      </c>
      <c r="D519">
        <v>700</v>
      </c>
      <c r="E519">
        <v>1</v>
      </c>
      <c r="F519">
        <v>3627</v>
      </c>
      <c r="G519">
        <v>22.097899999999999</v>
      </c>
      <c r="H519">
        <v>3627</v>
      </c>
      <c r="I519">
        <v>1.84E-2</v>
      </c>
      <c r="J519" t="b">
        <v>1</v>
      </c>
    </row>
    <row r="520" spans="1:10" x14ac:dyDescent="0.25">
      <c r="A520" t="s">
        <v>450</v>
      </c>
      <c r="B520">
        <v>3</v>
      </c>
      <c r="C520" t="s">
        <v>113</v>
      </c>
      <c r="D520">
        <v>500</v>
      </c>
      <c r="E520">
        <v>7</v>
      </c>
      <c r="F520">
        <v>2772</v>
      </c>
      <c r="G520">
        <v>7.4791999999999996</v>
      </c>
      <c r="H520">
        <v>2772</v>
      </c>
      <c r="I520">
        <v>1.84E-2</v>
      </c>
      <c r="J520" t="b">
        <v>1</v>
      </c>
    </row>
    <row r="521" spans="1:10" x14ac:dyDescent="0.25">
      <c r="A521" t="s">
        <v>565</v>
      </c>
      <c r="B521">
        <v>4</v>
      </c>
      <c r="C521" t="s">
        <v>113</v>
      </c>
      <c r="D521">
        <v>500</v>
      </c>
      <c r="E521">
        <v>10</v>
      </c>
      <c r="F521">
        <v>2924</v>
      </c>
      <c r="G521">
        <v>6.1616</v>
      </c>
      <c r="H521">
        <v>2924</v>
      </c>
      <c r="I521">
        <v>1.84E-2</v>
      </c>
      <c r="J521" t="b">
        <v>1</v>
      </c>
    </row>
    <row r="522" spans="1:10" x14ac:dyDescent="0.25">
      <c r="A522" t="s">
        <v>583</v>
      </c>
      <c r="B522">
        <v>4</v>
      </c>
      <c r="C522" t="s">
        <v>113</v>
      </c>
      <c r="D522">
        <v>1000</v>
      </c>
      <c r="E522">
        <v>4</v>
      </c>
      <c r="F522">
        <v>5416</v>
      </c>
      <c r="G522">
        <v>136.3074</v>
      </c>
      <c r="H522">
        <v>5416</v>
      </c>
      <c r="I522">
        <v>1.83E-2</v>
      </c>
      <c r="J522" t="b">
        <v>1</v>
      </c>
    </row>
    <row r="523" spans="1:10" x14ac:dyDescent="0.25">
      <c r="A523" t="s">
        <v>389</v>
      </c>
      <c r="B523">
        <v>3</v>
      </c>
      <c r="C523" t="s">
        <v>62</v>
      </c>
      <c r="D523">
        <v>300</v>
      </c>
      <c r="E523">
        <v>5</v>
      </c>
      <c r="F523">
        <v>1337</v>
      </c>
      <c r="G523">
        <v>0.42680000000000001</v>
      </c>
      <c r="H523">
        <v>1337</v>
      </c>
      <c r="I523">
        <v>1.8200000000000001E-2</v>
      </c>
      <c r="J523" t="b">
        <v>1</v>
      </c>
    </row>
    <row r="524" spans="1:10" x14ac:dyDescent="0.25">
      <c r="A524" t="s">
        <v>474</v>
      </c>
      <c r="B524">
        <v>4</v>
      </c>
      <c r="C524" t="s">
        <v>11</v>
      </c>
      <c r="D524">
        <v>300</v>
      </c>
      <c r="E524">
        <v>2</v>
      </c>
      <c r="F524">
        <v>1425</v>
      </c>
      <c r="G524">
        <v>0.97040000000000004</v>
      </c>
      <c r="H524">
        <v>1425</v>
      </c>
      <c r="I524">
        <v>1.8200000000000001E-2</v>
      </c>
      <c r="J524" t="b">
        <v>1</v>
      </c>
    </row>
    <row r="525" spans="1:10" x14ac:dyDescent="0.25">
      <c r="A525" t="s">
        <v>568</v>
      </c>
      <c r="B525">
        <v>4</v>
      </c>
      <c r="C525" t="s">
        <v>113</v>
      </c>
      <c r="D525">
        <v>1000</v>
      </c>
      <c r="E525">
        <v>1</v>
      </c>
      <c r="F525">
        <v>5314</v>
      </c>
      <c r="G525">
        <v>146.87299999999999</v>
      </c>
      <c r="H525">
        <v>5314</v>
      </c>
      <c r="I525">
        <v>1.8100000000000002E-2</v>
      </c>
      <c r="J525" t="b">
        <v>1</v>
      </c>
    </row>
    <row r="526" spans="1:10" x14ac:dyDescent="0.25">
      <c r="A526" t="s">
        <v>606</v>
      </c>
      <c r="B526">
        <v>4</v>
      </c>
      <c r="C526" t="s">
        <v>113</v>
      </c>
      <c r="D526">
        <v>700</v>
      </c>
      <c r="E526">
        <v>8</v>
      </c>
      <c r="F526">
        <v>4076</v>
      </c>
      <c r="G526">
        <v>21.622199999999999</v>
      </c>
      <c r="H526">
        <v>4076</v>
      </c>
      <c r="I526">
        <v>1.8100000000000002E-2</v>
      </c>
      <c r="J526" t="b">
        <v>1</v>
      </c>
    </row>
    <row r="527" spans="1:10" x14ac:dyDescent="0.25">
      <c r="A527" t="s">
        <v>98</v>
      </c>
      <c r="B527">
        <v>1</v>
      </c>
      <c r="C527" t="s">
        <v>62</v>
      </c>
      <c r="D527">
        <v>300</v>
      </c>
      <c r="E527">
        <v>7</v>
      </c>
      <c r="F527">
        <v>1405</v>
      </c>
      <c r="G527">
        <v>0.39040000000000002</v>
      </c>
      <c r="H527">
        <v>1405</v>
      </c>
      <c r="I527">
        <v>1.7999999999999999E-2</v>
      </c>
      <c r="J527" t="b">
        <v>1</v>
      </c>
    </row>
    <row r="528" spans="1:10" x14ac:dyDescent="0.25">
      <c r="A528" t="s">
        <v>440</v>
      </c>
      <c r="B528">
        <v>3</v>
      </c>
      <c r="C528" t="s">
        <v>113</v>
      </c>
      <c r="D528">
        <v>500</v>
      </c>
      <c r="E528">
        <v>5</v>
      </c>
      <c r="F528">
        <v>2655</v>
      </c>
      <c r="G528">
        <v>7.5503</v>
      </c>
      <c r="H528">
        <v>2655</v>
      </c>
      <c r="I528">
        <v>1.7999999999999999E-2</v>
      </c>
      <c r="J528" t="b">
        <v>1</v>
      </c>
    </row>
    <row r="529" spans="1:10" x14ac:dyDescent="0.25">
      <c r="A529" t="s">
        <v>441</v>
      </c>
      <c r="B529">
        <v>3</v>
      </c>
      <c r="C529" t="s">
        <v>113</v>
      </c>
      <c r="D529">
        <v>700</v>
      </c>
      <c r="E529">
        <v>5</v>
      </c>
      <c r="F529">
        <v>3701</v>
      </c>
      <c r="G529">
        <v>24.424900000000001</v>
      </c>
      <c r="H529">
        <v>3701</v>
      </c>
      <c r="I529">
        <v>1.7999999999999999E-2</v>
      </c>
      <c r="J529" t="b">
        <v>1</v>
      </c>
    </row>
    <row r="530" spans="1:10" x14ac:dyDescent="0.25">
      <c r="A530" t="s">
        <v>582</v>
      </c>
      <c r="B530">
        <v>4</v>
      </c>
      <c r="C530" t="s">
        <v>113</v>
      </c>
      <c r="D530">
        <v>800</v>
      </c>
      <c r="E530">
        <v>3</v>
      </c>
      <c r="F530">
        <v>4170</v>
      </c>
      <c r="G530">
        <v>65.756399999999999</v>
      </c>
      <c r="H530">
        <v>4170</v>
      </c>
      <c r="I530">
        <v>1.78E-2</v>
      </c>
      <c r="J530" t="b">
        <v>1</v>
      </c>
    </row>
    <row r="531" spans="1:10" x14ac:dyDescent="0.25">
      <c r="A531" t="s">
        <v>460</v>
      </c>
      <c r="B531">
        <v>3</v>
      </c>
      <c r="C531" t="s">
        <v>113</v>
      </c>
      <c r="D531">
        <v>500</v>
      </c>
      <c r="E531">
        <v>9</v>
      </c>
      <c r="F531">
        <v>2604</v>
      </c>
      <c r="G531">
        <v>5.7404999999999999</v>
      </c>
      <c r="H531">
        <v>2604</v>
      </c>
      <c r="I531">
        <v>1.7399999999999999E-2</v>
      </c>
      <c r="J531" t="b">
        <v>1</v>
      </c>
    </row>
    <row r="532" spans="1:10" x14ac:dyDescent="0.25">
      <c r="A532" t="s">
        <v>335</v>
      </c>
      <c r="B532">
        <v>3</v>
      </c>
      <c r="C532" t="s">
        <v>11</v>
      </c>
      <c r="D532">
        <v>500</v>
      </c>
      <c r="E532">
        <v>4</v>
      </c>
      <c r="F532">
        <v>2282</v>
      </c>
      <c r="G532">
        <v>7.8232999999999997</v>
      </c>
      <c r="H532">
        <v>2282</v>
      </c>
      <c r="I532">
        <v>1.72E-2</v>
      </c>
      <c r="J532" t="b">
        <v>1</v>
      </c>
    </row>
    <row r="533" spans="1:10" x14ac:dyDescent="0.25">
      <c r="A533" t="s">
        <v>425</v>
      </c>
      <c r="B533">
        <v>3</v>
      </c>
      <c r="C533" t="s">
        <v>113</v>
      </c>
      <c r="D533">
        <v>500</v>
      </c>
      <c r="E533">
        <v>2</v>
      </c>
      <c r="F533">
        <v>2726</v>
      </c>
      <c r="G533">
        <v>6.8243</v>
      </c>
      <c r="H533">
        <v>2726</v>
      </c>
      <c r="I533">
        <v>1.72E-2</v>
      </c>
      <c r="J533" t="b">
        <v>1</v>
      </c>
    </row>
    <row r="534" spans="1:10" x14ac:dyDescent="0.25">
      <c r="A534" t="s">
        <v>505</v>
      </c>
      <c r="B534">
        <v>4</v>
      </c>
      <c r="C534" t="s">
        <v>11</v>
      </c>
      <c r="D534">
        <v>500</v>
      </c>
      <c r="E534">
        <v>8</v>
      </c>
      <c r="F534">
        <v>2415</v>
      </c>
      <c r="G534">
        <v>4.6092000000000004</v>
      </c>
      <c r="H534">
        <v>2415</v>
      </c>
      <c r="I534">
        <v>1.72E-2</v>
      </c>
      <c r="J534" t="b">
        <v>1</v>
      </c>
    </row>
    <row r="535" spans="1:10" x14ac:dyDescent="0.25">
      <c r="A535" t="s">
        <v>539</v>
      </c>
      <c r="B535">
        <v>4</v>
      </c>
      <c r="C535" t="s">
        <v>62</v>
      </c>
      <c r="D535">
        <v>300</v>
      </c>
      <c r="E535">
        <v>5</v>
      </c>
      <c r="F535">
        <v>1335</v>
      </c>
      <c r="G535">
        <v>0.73460000000000003</v>
      </c>
      <c r="H535">
        <v>1335</v>
      </c>
      <c r="I535">
        <v>1.7100000000000001E-2</v>
      </c>
      <c r="J535" t="b">
        <v>1</v>
      </c>
    </row>
    <row r="536" spans="1:10" x14ac:dyDescent="0.25">
      <c r="A536" t="s">
        <v>325</v>
      </c>
      <c r="B536">
        <v>3</v>
      </c>
      <c r="C536" t="s">
        <v>11</v>
      </c>
      <c r="D536">
        <v>500</v>
      </c>
      <c r="E536">
        <v>2</v>
      </c>
      <c r="F536">
        <v>2285</v>
      </c>
      <c r="G536">
        <v>8.8552999999999997</v>
      </c>
      <c r="H536">
        <v>2285</v>
      </c>
      <c r="I536">
        <v>1.7000000000000001E-2</v>
      </c>
      <c r="J536" t="b">
        <v>1</v>
      </c>
    </row>
    <row r="537" spans="1:10" x14ac:dyDescent="0.25">
      <c r="A537" t="s">
        <v>507</v>
      </c>
      <c r="B537">
        <v>4</v>
      </c>
      <c r="C537" t="s">
        <v>11</v>
      </c>
      <c r="D537">
        <v>800</v>
      </c>
      <c r="E537">
        <v>8</v>
      </c>
      <c r="F537">
        <v>3640</v>
      </c>
      <c r="G537">
        <v>60.1267</v>
      </c>
      <c r="H537">
        <v>3640</v>
      </c>
      <c r="I537">
        <v>1.66E-2</v>
      </c>
      <c r="J537" t="b">
        <v>1</v>
      </c>
    </row>
    <row r="538" spans="1:10" x14ac:dyDescent="0.25">
      <c r="A538" t="s">
        <v>424</v>
      </c>
      <c r="B538">
        <v>3</v>
      </c>
      <c r="C538" t="s">
        <v>113</v>
      </c>
      <c r="D538">
        <v>300</v>
      </c>
      <c r="E538">
        <v>2</v>
      </c>
      <c r="F538">
        <v>1620</v>
      </c>
      <c r="G538">
        <v>0.39600000000000002</v>
      </c>
      <c r="H538">
        <v>1620</v>
      </c>
      <c r="I538">
        <v>1.6500000000000001E-2</v>
      </c>
      <c r="J538" t="b">
        <v>1</v>
      </c>
    </row>
    <row r="539" spans="1:10" x14ac:dyDescent="0.25">
      <c r="A539" t="s">
        <v>119</v>
      </c>
      <c r="B539">
        <v>1</v>
      </c>
      <c r="C539" t="s">
        <v>113</v>
      </c>
      <c r="D539">
        <v>300</v>
      </c>
      <c r="E539">
        <v>1</v>
      </c>
      <c r="F539">
        <v>1569</v>
      </c>
      <c r="G539">
        <v>0.40489999999999998</v>
      </c>
      <c r="H539">
        <v>1569</v>
      </c>
      <c r="I539">
        <v>1.6400000000000001E-2</v>
      </c>
      <c r="J539" t="b">
        <v>1</v>
      </c>
    </row>
    <row r="540" spans="1:10" x14ac:dyDescent="0.25">
      <c r="A540" t="s">
        <v>399</v>
      </c>
      <c r="B540">
        <v>3</v>
      </c>
      <c r="C540" t="s">
        <v>62</v>
      </c>
      <c r="D540">
        <v>300</v>
      </c>
      <c r="E540">
        <v>7</v>
      </c>
      <c r="F540">
        <v>1425</v>
      </c>
      <c r="G540">
        <v>0.38919999999999999</v>
      </c>
      <c r="H540">
        <v>1425</v>
      </c>
      <c r="I540">
        <v>1.6400000000000001E-2</v>
      </c>
      <c r="J540" t="b">
        <v>1</v>
      </c>
    </row>
    <row r="541" spans="1:10" x14ac:dyDescent="0.25">
      <c r="A541" t="s">
        <v>149</v>
      </c>
      <c r="B541">
        <v>1</v>
      </c>
      <c r="C541" t="s">
        <v>113</v>
      </c>
      <c r="D541">
        <v>300</v>
      </c>
      <c r="E541">
        <v>7</v>
      </c>
      <c r="F541">
        <v>1550</v>
      </c>
      <c r="G541">
        <v>0.42609999999999998</v>
      </c>
      <c r="H541">
        <v>1550</v>
      </c>
      <c r="I541">
        <v>1.6299999999999999E-2</v>
      </c>
      <c r="J541" t="b">
        <v>1</v>
      </c>
    </row>
    <row r="542" spans="1:10" x14ac:dyDescent="0.25">
      <c r="A542" t="s">
        <v>476</v>
      </c>
      <c r="B542">
        <v>4</v>
      </c>
      <c r="C542" t="s">
        <v>11</v>
      </c>
      <c r="D542">
        <v>700</v>
      </c>
      <c r="E542">
        <v>2</v>
      </c>
      <c r="F542">
        <v>3105</v>
      </c>
      <c r="G542">
        <v>22.819700000000001</v>
      </c>
      <c r="H542">
        <v>3105</v>
      </c>
      <c r="I542">
        <v>1.6299999999999999E-2</v>
      </c>
      <c r="J542" t="b">
        <v>1</v>
      </c>
    </row>
    <row r="543" spans="1:10" x14ac:dyDescent="0.25">
      <c r="A543" t="s">
        <v>369</v>
      </c>
      <c r="B543">
        <v>3</v>
      </c>
      <c r="C543" t="s">
        <v>62</v>
      </c>
      <c r="D543">
        <v>300</v>
      </c>
      <c r="E543">
        <v>1</v>
      </c>
      <c r="F543">
        <v>1285</v>
      </c>
      <c r="G543">
        <v>0.37430000000000002</v>
      </c>
      <c r="H543">
        <v>1285</v>
      </c>
      <c r="I543">
        <v>1.6E-2</v>
      </c>
      <c r="J543" t="b">
        <v>1</v>
      </c>
    </row>
    <row r="544" spans="1:10" x14ac:dyDescent="0.25">
      <c r="A544" t="s">
        <v>484</v>
      </c>
      <c r="B544">
        <v>4</v>
      </c>
      <c r="C544" t="s">
        <v>11</v>
      </c>
      <c r="D544">
        <v>300</v>
      </c>
      <c r="E544">
        <v>4</v>
      </c>
      <c r="F544">
        <v>1315</v>
      </c>
      <c r="G544">
        <v>0.76170000000000004</v>
      </c>
      <c r="H544">
        <v>1315</v>
      </c>
      <c r="I544">
        <v>1.6E-2</v>
      </c>
      <c r="J544" t="b">
        <v>1</v>
      </c>
    </row>
    <row r="545" spans="1:10" x14ac:dyDescent="0.25">
      <c r="A545" t="s">
        <v>612</v>
      </c>
      <c r="B545">
        <v>4</v>
      </c>
      <c r="C545" t="s">
        <v>113</v>
      </c>
      <c r="D545">
        <v>800</v>
      </c>
      <c r="E545">
        <v>9</v>
      </c>
      <c r="F545">
        <v>4211</v>
      </c>
      <c r="G545">
        <v>66.336699999999993</v>
      </c>
      <c r="H545">
        <v>4211</v>
      </c>
      <c r="I545">
        <v>1.6E-2</v>
      </c>
      <c r="J545" t="b">
        <v>1</v>
      </c>
    </row>
    <row r="546" spans="1:10" x14ac:dyDescent="0.25">
      <c r="A546" t="s">
        <v>108</v>
      </c>
      <c r="B546">
        <v>1</v>
      </c>
      <c r="C546" t="s">
        <v>62</v>
      </c>
      <c r="D546">
        <v>300</v>
      </c>
      <c r="E546">
        <v>9</v>
      </c>
      <c r="F546">
        <v>1275</v>
      </c>
      <c r="G546">
        <v>0.43580000000000002</v>
      </c>
      <c r="H546">
        <v>1275</v>
      </c>
      <c r="I546">
        <v>1.5900000000000001E-2</v>
      </c>
      <c r="J546" t="b">
        <v>1</v>
      </c>
    </row>
    <row r="547" spans="1:10" x14ac:dyDescent="0.25">
      <c r="A547" t="s">
        <v>557</v>
      </c>
      <c r="B547">
        <v>4</v>
      </c>
      <c r="C547" t="s">
        <v>62</v>
      </c>
      <c r="D547">
        <v>800</v>
      </c>
      <c r="E547">
        <v>8</v>
      </c>
      <c r="F547">
        <v>3860</v>
      </c>
      <c r="G547">
        <v>59.746499999999997</v>
      </c>
      <c r="H547">
        <v>3860</v>
      </c>
      <c r="I547">
        <v>1.5800000000000002E-2</v>
      </c>
      <c r="J547" t="b">
        <v>1</v>
      </c>
    </row>
    <row r="548" spans="1:10" x14ac:dyDescent="0.25">
      <c r="A548" t="s">
        <v>566</v>
      </c>
      <c r="B548">
        <v>4</v>
      </c>
      <c r="C548" t="s">
        <v>113</v>
      </c>
      <c r="D548">
        <v>700</v>
      </c>
      <c r="E548">
        <v>10</v>
      </c>
      <c r="F548">
        <v>3780</v>
      </c>
      <c r="G548">
        <v>22.096800000000002</v>
      </c>
      <c r="H548">
        <v>3780</v>
      </c>
      <c r="I548">
        <v>1.5800000000000002E-2</v>
      </c>
      <c r="J548" t="b">
        <v>1</v>
      </c>
    </row>
    <row r="549" spans="1:10" x14ac:dyDescent="0.25">
      <c r="A549" t="s">
        <v>567</v>
      </c>
      <c r="B549">
        <v>4</v>
      </c>
      <c r="C549" t="s">
        <v>113</v>
      </c>
      <c r="D549">
        <v>800</v>
      </c>
      <c r="E549">
        <v>10</v>
      </c>
      <c r="F549">
        <v>4401</v>
      </c>
      <c r="G549">
        <v>67.479799999999997</v>
      </c>
      <c r="H549">
        <v>4401</v>
      </c>
      <c r="I549">
        <v>1.5800000000000002E-2</v>
      </c>
      <c r="J549" t="b">
        <v>1</v>
      </c>
    </row>
    <row r="550" spans="1:10" x14ac:dyDescent="0.25">
      <c r="A550" t="s">
        <v>354</v>
      </c>
      <c r="B550">
        <v>3</v>
      </c>
      <c r="C550" t="s">
        <v>11</v>
      </c>
      <c r="D550">
        <v>300</v>
      </c>
      <c r="E550">
        <v>8</v>
      </c>
      <c r="F550">
        <v>1395</v>
      </c>
      <c r="G550">
        <v>0.37059999999999998</v>
      </c>
      <c r="H550">
        <v>1395</v>
      </c>
      <c r="I550">
        <v>1.5699999999999999E-2</v>
      </c>
      <c r="J550" t="b">
        <v>1</v>
      </c>
    </row>
    <row r="551" spans="1:10" x14ac:dyDescent="0.25">
      <c r="A551" t="s">
        <v>596</v>
      </c>
      <c r="B551">
        <v>4</v>
      </c>
      <c r="C551" t="s">
        <v>113</v>
      </c>
      <c r="D551">
        <v>700</v>
      </c>
      <c r="E551">
        <v>6</v>
      </c>
      <c r="F551">
        <v>3831</v>
      </c>
      <c r="G551">
        <v>25.192399999999999</v>
      </c>
      <c r="H551">
        <v>3831</v>
      </c>
      <c r="I551">
        <v>1.5699999999999999E-2</v>
      </c>
      <c r="J551" t="b">
        <v>1</v>
      </c>
    </row>
    <row r="552" spans="1:10" x14ac:dyDescent="0.25">
      <c r="A552" t="s">
        <v>435</v>
      </c>
      <c r="B552">
        <v>3</v>
      </c>
      <c r="C552" t="s">
        <v>113</v>
      </c>
      <c r="D552">
        <v>500</v>
      </c>
      <c r="E552">
        <v>4</v>
      </c>
      <c r="F552">
        <v>2551</v>
      </c>
      <c r="G552">
        <v>5.1146000000000003</v>
      </c>
      <c r="H552">
        <v>2551</v>
      </c>
      <c r="I552">
        <v>1.55E-2</v>
      </c>
      <c r="J552" t="b">
        <v>1</v>
      </c>
    </row>
    <row r="553" spans="1:10" x14ac:dyDescent="0.25">
      <c r="A553" t="s">
        <v>569</v>
      </c>
      <c r="B553">
        <v>4</v>
      </c>
      <c r="C553" t="s">
        <v>113</v>
      </c>
      <c r="D553">
        <v>300</v>
      </c>
      <c r="E553">
        <v>1</v>
      </c>
      <c r="F553">
        <v>1644</v>
      </c>
      <c r="G553">
        <v>0.75349999999999995</v>
      </c>
      <c r="H553">
        <v>1644</v>
      </c>
      <c r="I553">
        <v>1.55E-2</v>
      </c>
      <c r="J553" t="b">
        <v>1</v>
      </c>
    </row>
    <row r="554" spans="1:10" x14ac:dyDescent="0.25">
      <c r="A554" t="s">
        <v>466</v>
      </c>
      <c r="B554">
        <v>4</v>
      </c>
      <c r="C554" t="s">
        <v>11</v>
      </c>
      <c r="D554">
        <v>700</v>
      </c>
      <c r="E554">
        <v>10</v>
      </c>
      <c r="F554">
        <v>3125</v>
      </c>
      <c r="G554">
        <v>23.4239</v>
      </c>
      <c r="H554">
        <v>3125</v>
      </c>
      <c r="I554">
        <v>1.5299999999999999E-2</v>
      </c>
      <c r="J554" t="b">
        <v>1</v>
      </c>
    </row>
    <row r="555" spans="1:10" x14ac:dyDescent="0.25">
      <c r="A555" t="s">
        <v>455</v>
      </c>
      <c r="B555">
        <v>3</v>
      </c>
      <c r="C555" t="s">
        <v>113</v>
      </c>
      <c r="D555">
        <v>500</v>
      </c>
      <c r="E555">
        <v>8</v>
      </c>
      <c r="F555">
        <v>2739</v>
      </c>
      <c r="G555">
        <v>6.9698000000000002</v>
      </c>
      <c r="H555">
        <v>2739</v>
      </c>
      <c r="I555">
        <v>1.4999999999999999E-2</v>
      </c>
      <c r="J555" t="b">
        <v>1</v>
      </c>
    </row>
    <row r="556" spans="1:10" x14ac:dyDescent="0.25">
      <c r="A556" t="s">
        <v>492</v>
      </c>
      <c r="B556">
        <v>4</v>
      </c>
      <c r="C556" t="s">
        <v>11</v>
      </c>
      <c r="D556">
        <v>800</v>
      </c>
      <c r="E556">
        <v>5</v>
      </c>
      <c r="F556">
        <v>3520</v>
      </c>
      <c r="G556">
        <v>61.133600000000001</v>
      </c>
      <c r="H556">
        <v>3520</v>
      </c>
      <c r="I556">
        <v>1.4999999999999999E-2</v>
      </c>
      <c r="J556" t="b">
        <v>1</v>
      </c>
    </row>
    <row r="557" spans="1:10" x14ac:dyDescent="0.25">
      <c r="A557" t="s">
        <v>496</v>
      </c>
      <c r="B557">
        <v>4</v>
      </c>
      <c r="C557" t="s">
        <v>11</v>
      </c>
      <c r="D557">
        <v>700</v>
      </c>
      <c r="E557">
        <v>6</v>
      </c>
      <c r="F557">
        <v>3135</v>
      </c>
      <c r="G557">
        <v>24.073399999999999</v>
      </c>
      <c r="H557">
        <v>3135</v>
      </c>
      <c r="I557">
        <v>1.4999999999999999E-2</v>
      </c>
      <c r="J557" t="b">
        <v>1</v>
      </c>
    </row>
    <row r="558" spans="1:10" x14ac:dyDescent="0.25">
      <c r="A558" t="s">
        <v>590</v>
      </c>
      <c r="B558">
        <v>4</v>
      </c>
      <c r="C558" t="s">
        <v>113</v>
      </c>
      <c r="D558">
        <v>500</v>
      </c>
      <c r="E558">
        <v>5</v>
      </c>
      <c r="F558">
        <v>2693</v>
      </c>
      <c r="G558">
        <v>5.9089</v>
      </c>
      <c r="H558">
        <v>2693</v>
      </c>
      <c r="I558">
        <v>1.47E-2</v>
      </c>
      <c r="J558" t="b">
        <v>1</v>
      </c>
    </row>
    <row r="559" spans="1:10" x14ac:dyDescent="0.25">
      <c r="A559" t="s">
        <v>344</v>
      </c>
      <c r="B559">
        <v>3</v>
      </c>
      <c r="C559" t="s">
        <v>11</v>
      </c>
      <c r="D559">
        <v>300</v>
      </c>
      <c r="E559">
        <v>6</v>
      </c>
      <c r="F559">
        <v>1315</v>
      </c>
      <c r="G559">
        <v>0.47160000000000002</v>
      </c>
      <c r="H559">
        <v>1315</v>
      </c>
      <c r="I559">
        <v>1.4500000000000001E-2</v>
      </c>
      <c r="J559" t="b">
        <v>1</v>
      </c>
    </row>
    <row r="560" spans="1:10" x14ac:dyDescent="0.25">
      <c r="A560" t="s">
        <v>586</v>
      </c>
      <c r="B560">
        <v>4</v>
      </c>
      <c r="C560" t="s">
        <v>113</v>
      </c>
      <c r="D560">
        <v>700</v>
      </c>
      <c r="E560">
        <v>4</v>
      </c>
      <c r="F560">
        <v>3561</v>
      </c>
      <c r="G560">
        <v>25.344999999999999</v>
      </c>
      <c r="H560">
        <v>3561</v>
      </c>
      <c r="I560">
        <v>1.4500000000000001E-2</v>
      </c>
      <c r="J560" t="b">
        <v>1</v>
      </c>
    </row>
    <row r="561" spans="1:10" x14ac:dyDescent="0.25">
      <c r="A561" t="s">
        <v>580</v>
      </c>
      <c r="B561">
        <v>4</v>
      </c>
      <c r="C561" t="s">
        <v>113</v>
      </c>
      <c r="D561">
        <v>500</v>
      </c>
      <c r="E561">
        <v>3</v>
      </c>
      <c r="F561">
        <v>2733</v>
      </c>
      <c r="G561">
        <v>4.7000999999999999</v>
      </c>
      <c r="H561">
        <v>2733</v>
      </c>
      <c r="I561">
        <v>1.43E-2</v>
      </c>
      <c r="J561" t="b">
        <v>1</v>
      </c>
    </row>
    <row r="562" spans="1:10" x14ac:dyDescent="0.25">
      <c r="A562" t="s">
        <v>93</v>
      </c>
      <c r="B562">
        <v>1</v>
      </c>
      <c r="C562" t="s">
        <v>62</v>
      </c>
      <c r="D562">
        <v>300</v>
      </c>
      <c r="E562">
        <v>6</v>
      </c>
      <c r="F562">
        <v>1375</v>
      </c>
      <c r="G562">
        <v>0.47549999999999998</v>
      </c>
      <c r="H562">
        <v>1375</v>
      </c>
      <c r="I562">
        <v>1.4200000000000001E-2</v>
      </c>
      <c r="J562" t="b">
        <v>1</v>
      </c>
    </row>
    <row r="563" spans="1:10" x14ac:dyDescent="0.25">
      <c r="A563" t="s">
        <v>585</v>
      </c>
      <c r="B563">
        <v>4</v>
      </c>
      <c r="C563" t="s">
        <v>113</v>
      </c>
      <c r="D563">
        <v>500</v>
      </c>
      <c r="E563">
        <v>4</v>
      </c>
      <c r="F563">
        <v>2576</v>
      </c>
      <c r="G563">
        <v>5.9615</v>
      </c>
      <c r="H563">
        <v>2576</v>
      </c>
      <c r="I563">
        <v>1.4200000000000001E-2</v>
      </c>
      <c r="J563" t="b">
        <v>1</v>
      </c>
    </row>
    <row r="564" spans="1:10" x14ac:dyDescent="0.25">
      <c r="A564" t="s">
        <v>124</v>
      </c>
      <c r="B564">
        <v>1</v>
      </c>
      <c r="C564" t="s">
        <v>113</v>
      </c>
      <c r="D564">
        <v>300</v>
      </c>
      <c r="E564">
        <v>2</v>
      </c>
      <c r="F564">
        <v>1550</v>
      </c>
      <c r="G564">
        <v>0.39579999999999999</v>
      </c>
      <c r="H564">
        <v>1550</v>
      </c>
      <c r="I564">
        <v>1.41E-2</v>
      </c>
      <c r="J564" t="b">
        <v>1</v>
      </c>
    </row>
    <row r="565" spans="1:10" x14ac:dyDescent="0.25">
      <c r="A565" t="s">
        <v>129</v>
      </c>
      <c r="B565">
        <v>1</v>
      </c>
      <c r="C565" t="s">
        <v>113</v>
      </c>
      <c r="D565">
        <v>300</v>
      </c>
      <c r="E565">
        <v>3</v>
      </c>
      <c r="F565">
        <v>1462</v>
      </c>
      <c r="G565">
        <v>0.42120000000000002</v>
      </c>
      <c r="H565">
        <v>1462</v>
      </c>
      <c r="I565">
        <v>1.4E-2</v>
      </c>
      <c r="J565" t="b">
        <v>1</v>
      </c>
    </row>
    <row r="566" spans="1:10" x14ac:dyDescent="0.25">
      <c r="A566" t="s">
        <v>349</v>
      </c>
      <c r="B566">
        <v>3</v>
      </c>
      <c r="C566" t="s">
        <v>11</v>
      </c>
      <c r="D566">
        <v>300</v>
      </c>
      <c r="E566">
        <v>7</v>
      </c>
      <c r="F566">
        <v>1372</v>
      </c>
      <c r="G566">
        <v>0.3574</v>
      </c>
      <c r="H566">
        <v>1372</v>
      </c>
      <c r="I566">
        <v>1.34E-2</v>
      </c>
      <c r="J566" t="b">
        <v>1</v>
      </c>
    </row>
    <row r="567" spans="1:10" x14ac:dyDescent="0.25">
      <c r="A567" t="s">
        <v>574</v>
      </c>
      <c r="B567">
        <v>4</v>
      </c>
      <c r="C567" t="s">
        <v>113</v>
      </c>
      <c r="D567">
        <v>300</v>
      </c>
      <c r="E567">
        <v>2</v>
      </c>
      <c r="F567">
        <v>1645</v>
      </c>
      <c r="G567">
        <v>0.77829999999999999</v>
      </c>
      <c r="H567">
        <v>1645</v>
      </c>
      <c r="I567">
        <v>1.3299999999999999E-2</v>
      </c>
      <c r="J567" t="b">
        <v>1</v>
      </c>
    </row>
    <row r="568" spans="1:10" x14ac:dyDescent="0.25">
      <c r="A568" t="s">
        <v>414</v>
      </c>
      <c r="B568">
        <v>3</v>
      </c>
      <c r="C568" t="s">
        <v>113</v>
      </c>
      <c r="D568">
        <v>300</v>
      </c>
      <c r="E568">
        <v>10</v>
      </c>
      <c r="F568">
        <v>1630</v>
      </c>
      <c r="G568">
        <v>0.39729999999999999</v>
      </c>
      <c r="H568">
        <v>1630</v>
      </c>
      <c r="I568">
        <v>1.2999999999999999E-2</v>
      </c>
      <c r="J568" t="b">
        <v>1</v>
      </c>
    </row>
    <row r="569" spans="1:10" x14ac:dyDescent="0.25">
      <c r="A569" t="s">
        <v>449</v>
      </c>
      <c r="B569">
        <v>3</v>
      </c>
      <c r="C569" t="s">
        <v>113</v>
      </c>
      <c r="D569">
        <v>300</v>
      </c>
      <c r="E569">
        <v>7</v>
      </c>
      <c r="F569">
        <v>1599</v>
      </c>
      <c r="G569">
        <v>0.44030000000000002</v>
      </c>
      <c r="H569">
        <v>1599</v>
      </c>
      <c r="I569">
        <v>1.2999999999999999E-2</v>
      </c>
      <c r="J569" t="b">
        <v>1</v>
      </c>
    </row>
    <row r="570" spans="1:10" x14ac:dyDescent="0.25">
      <c r="A570" t="s">
        <v>478</v>
      </c>
      <c r="B570">
        <v>4</v>
      </c>
      <c r="C570" t="s">
        <v>11</v>
      </c>
      <c r="D570">
        <v>1000</v>
      </c>
      <c r="E570">
        <v>3</v>
      </c>
      <c r="F570">
        <v>4660</v>
      </c>
      <c r="G570">
        <v>132.65039999999999</v>
      </c>
      <c r="H570">
        <v>4660</v>
      </c>
      <c r="I570">
        <v>1.2999999999999999E-2</v>
      </c>
      <c r="J570" t="b">
        <v>1</v>
      </c>
    </row>
    <row r="571" spans="1:10" x14ac:dyDescent="0.25">
      <c r="A571" t="s">
        <v>491</v>
      </c>
      <c r="B571">
        <v>4</v>
      </c>
      <c r="C571" t="s">
        <v>11</v>
      </c>
      <c r="D571">
        <v>700</v>
      </c>
      <c r="E571">
        <v>5</v>
      </c>
      <c r="F571">
        <v>3175</v>
      </c>
      <c r="G571">
        <v>23.660900000000002</v>
      </c>
      <c r="H571">
        <v>3175</v>
      </c>
      <c r="I571">
        <v>1.2999999999999999E-2</v>
      </c>
      <c r="J571" t="b">
        <v>1</v>
      </c>
    </row>
    <row r="572" spans="1:10" x14ac:dyDescent="0.25">
      <c r="A572" t="s">
        <v>495</v>
      </c>
      <c r="B572">
        <v>4</v>
      </c>
      <c r="C572" t="s">
        <v>11</v>
      </c>
      <c r="D572">
        <v>500</v>
      </c>
      <c r="E572">
        <v>6</v>
      </c>
      <c r="F572">
        <v>2185</v>
      </c>
      <c r="G572">
        <v>5.1502999999999997</v>
      </c>
      <c r="H572">
        <v>2185</v>
      </c>
      <c r="I572">
        <v>1.2999999999999999E-2</v>
      </c>
      <c r="J572" t="b">
        <v>1</v>
      </c>
    </row>
    <row r="573" spans="1:10" x14ac:dyDescent="0.25">
      <c r="A573" t="s">
        <v>600</v>
      </c>
      <c r="B573">
        <v>4</v>
      </c>
      <c r="C573" t="s">
        <v>113</v>
      </c>
      <c r="D573">
        <v>500</v>
      </c>
      <c r="E573">
        <v>7</v>
      </c>
      <c r="F573">
        <v>2838</v>
      </c>
      <c r="G573">
        <v>5.0561999999999996</v>
      </c>
      <c r="H573">
        <v>2838</v>
      </c>
      <c r="I573">
        <v>1.2999999999999999E-2</v>
      </c>
      <c r="J573" t="b">
        <v>1</v>
      </c>
    </row>
    <row r="574" spans="1:10" x14ac:dyDescent="0.25">
      <c r="A574" t="s">
        <v>530</v>
      </c>
      <c r="B574">
        <v>4</v>
      </c>
      <c r="C574" t="s">
        <v>62</v>
      </c>
      <c r="D574">
        <v>500</v>
      </c>
      <c r="E574">
        <v>3</v>
      </c>
      <c r="F574">
        <v>2225</v>
      </c>
      <c r="G574">
        <v>4.4687999999999999</v>
      </c>
      <c r="H574">
        <v>2225</v>
      </c>
      <c r="I574">
        <v>1.29E-2</v>
      </c>
      <c r="J574" t="b">
        <v>1</v>
      </c>
    </row>
    <row r="575" spans="1:10" x14ac:dyDescent="0.25">
      <c r="A575" t="s">
        <v>434</v>
      </c>
      <c r="B575">
        <v>3</v>
      </c>
      <c r="C575" t="s">
        <v>113</v>
      </c>
      <c r="D575">
        <v>300</v>
      </c>
      <c r="E575">
        <v>4</v>
      </c>
      <c r="F575">
        <v>1860</v>
      </c>
      <c r="G575">
        <v>0.37569999999999998</v>
      </c>
      <c r="H575">
        <v>1860</v>
      </c>
      <c r="I575">
        <v>1.26E-2</v>
      </c>
      <c r="J575" t="b">
        <v>1</v>
      </c>
    </row>
    <row r="576" spans="1:10" x14ac:dyDescent="0.25">
      <c r="A576" t="s">
        <v>419</v>
      </c>
      <c r="B576">
        <v>3</v>
      </c>
      <c r="C576" t="s">
        <v>113</v>
      </c>
      <c r="D576">
        <v>300</v>
      </c>
      <c r="E576">
        <v>1</v>
      </c>
      <c r="F576">
        <v>1647</v>
      </c>
      <c r="G576">
        <v>0.3745</v>
      </c>
      <c r="H576">
        <v>1647</v>
      </c>
      <c r="I576">
        <v>1.2200000000000001E-2</v>
      </c>
      <c r="J576" t="b">
        <v>1</v>
      </c>
    </row>
    <row r="577" spans="1:10" x14ac:dyDescent="0.25">
      <c r="A577" t="s">
        <v>554</v>
      </c>
      <c r="B577">
        <v>4</v>
      </c>
      <c r="C577" t="s">
        <v>62</v>
      </c>
      <c r="D577">
        <v>300</v>
      </c>
      <c r="E577">
        <v>8</v>
      </c>
      <c r="F577">
        <v>1335</v>
      </c>
      <c r="G577">
        <v>0.72860000000000003</v>
      </c>
      <c r="H577">
        <v>1335</v>
      </c>
      <c r="I577">
        <v>1.21E-2</v>
      </c>
      <c r="J577" t="b">
        <v>1</v>
      </c>
    </row>
    <row r="578" spans="1:10" x14ac:dyDescent="0.25">
      <c r="A578" t="s">
        <v>139</v>
      </c>
      <c r="B578">
        <v>1</v>
      </c>
      <c r="C578" t="s">
        <v>113</v>
      </c>
      <c r="D578">
        <v>300</v>
      </c>
      <c r="E578">
        <v>5</v>
      </c>
      <c r="F578">
        <v>1529</v>
      </c>
      <c r="G578">
        <v>0.42009999999999997</v>
      </c>
      <c r="H578">
        <v>1529</v>
      </c>
      <c r="I578">
        <v>1.2E-2</v>
      </c>
      <c r="J578" t="b">
        <v>1</v>
      </c>
    </row>
    <row r="579" spans="1:10" x14ac:dyDescent="0.25">
      <c r="A579" t="s">
        <v>429</v>
      </c>
      <c r="B579">
        <v>3</v>
      </c>
      <c r="C579" t="s">
        <v>113</v>
      </c>
      <c r="D579">
        <v>300</v>
      </c>
      <c r="E579">
        <v>3</v>
      </c>
      <c r="F579">
        <v>1514</v>
      </c>
      <c r="G579">
        <v>0.443</v>
      </c>
      <c r="H579">
        <v>1514</v>
      </c>
      <c r="I579">
        <v>1.2E-2</v>
      </c>
      <c r="J579" t="b">
        <v>1</v>
      </c>
    </row>
    <row r="580" spans="1:10" x14ac:dyDescent="0.25">
      <c r="A580" t="s">
        <v>430</v>
      </c>
      <c r="B580">
        <v>3</v>
      </c>
      <c r="C580" t="s">
        <v>113</v>
      </c>
      <c r="D580">
        <v>500</v>
      </c>
      <c r="E580">
        <v>3</v>
      </c>
      <c r="F580">
        <v>2740</v>
      </c>
      <c r="G580">
        <v>7.8456000000000001</v>
      </c>
      <c r="H580">
        <v>2740</v>
      </c>
      <c r="I580">
        <v>1.2E-2</v>
      </c>
      <c r="J580" t="b">
        <v>1</v>
      </c>
    </row>
    <row r="581" spans="1:10" x14ac:dyDescent="0.25">
      <c r="A581" t="s">
        <v>564</v>
      </c>
      <c r="B581">
        <v>4</v>
      </c>
      <c r="C581" t="s">
        <v>113</v>
      </c>
      <c r="D581">
        <v>300</v>
      </c>
      <c r="E581">
        <v>10</v>
      </c>
      <c r="F581">
        <v>1691</v>
      </c>
      <c r="G581">
        <v>0.79349999999999998</v>
      </c>
      <c r="H581">
        <v>1691</v>
      </c>
      <c r="I581">
        <v>1.2E-2</v>
      </c>
      <c r="J581" t="b">
        <v>1</v>
      </c>
    </row>
    <row r="582" spans="1:10" x14ac:dyDescent="0.25">
      <c r="A582" t="s">
        <v>559</v>
      </c>
      <c r="B582">
        <v>4</v>
      </c>
      <c r="C582" t="s">
        <v>62</v>
      </c>
      <c r="D582">
        <v>300</v>
      </c>
      <c r="E582">
        <v>9</v>
      </c>
      <c r="F582">
        <v>1315</v>
      </c>
      <c r="G582">
        <v>0.78480000000000005</v>
      </c>
      <c r="H582">
        <v>1315</v>
      </c>
      <c r="I582">
        <v>1.12E-2</v>
      </c>
      <c r="J582" t="b">
        <v>1</v>
      </c>
    </row>
    <row r="583" spans="1:10" x14ac:dyDescent="0.25">
      <c r="A583" t="s">
        <v>609</v>
      </c>
      <c r="B583">
        <v>4</v>
      </c>
      <c r="C583" t="s">
        <v>113</v>
      </c>
      <c r="D583">
        <v>300</v>
      </c>
      <c r="E583">
        <v>9</v>
      </c>
      <c r="F583">
        <v>1646</v>
      </c>
      <c r="G583">
        <v>0.80920000000000003</v>
      </c>
      <c r="H583">
        <v>1646</v>
      </c>
      <c r="I583">
        <v>1.11E-2</v>
      </c>
      <c r="J583" t="b">
        <v>1</v>
      </c>
    </row>
    <row r="584" spans="1:10" x14ac:dyDescent="0.25">
      <c r="A584" t="s">
        <v>524</v>
      </c>
      <c r="B584">
        <v>4</v>
      </c>
      <c r="C584" t="s">
        <v>62</v>
      </c>
      <c r="D584">
        <v>300</v>
      </c>
      <c r="E584">
        <v>2</v>
      </c>
      <c r="F584">
        <v>1385</v>
      </c>
      <c r="G584">
        <v>0.76380000000000003</v>
      </c>
      <c r="H584">
        <v>1385</v>
      </c>
      <c r="I584">
        <v>1.0999999999999999E-2</v>
      </c>
      <c r="J584" t="b">
        <v>1</v>
      </c>
    </row>
    <row r="585" spans="1:10" x14ac:dyDescent="0.25">
      <c r="A585" t="s">
        <v>374</v>
      </c>
      <c r="B585">
        <v>3</v>
      </c>
      <c r="C585" t="s">
        <v>62</v>
      </c>
      <c r="D585">
        <v>300</v>
      </c>
      <c r="E585">
        <v>2</v>
      </c>
      <c r="F585">
        <v>1379</v>
      </c>
      <c r="G585">
        <v>0.36890000000000001</v>
      </c>
      <c r="H585">
        <v>1379</v>
      </c>
      <c r="I585">
        <v>1.0699999999999999E-2</v>
      </c>
      <c r="J585" t="b">
        <v>1</v>
      </c>
    </row>
    <row r="586" spans="1:10" x14ac:dyDescent="0.25">
      <c r="A586" t="s">
        <v>439</v>
      </c>
      <c r="B586">
        <v>3</v>
      </c>
      <c r="C586" t="s">
        <v>113</v>
      </c>
      <c r="D586">
        <v>300</v>
      </c>
      <c r="E586">
        <v>5</v>
      </c>
      <c r="F586">
        <v>1581</v>
      </c>
      <c r="G586">
        <v>0.34439999999999998</v>
      </c>
      <c r="H586">
        <v>1581</v>
      </c>
      <c r="I586">
        <v>1.01E-2</v>
      </c>
      <c r="J586" t="b">
        <v>1</v>
      </c>
    </row>
    <row r="587" spans="1:10" x14ac:dyDescent="0.25">
      <c r="A587" t="s">
        <v>589</v>
      </c>
      <c r="B587">
        <v>4</v>
      </c>
      <c r="C587" t="s">
        <v>113</v>
      </c>
      <c r="D587">
        <v>300</v>
      </c>
      <c r="E587">
        <v>5</v>
      </c>
      <c r="F587">
        <v>1586</v>
      </c>
      <c r="G587">
        <v>0.76500000000000001</v>
      </c>
      <c r="H587">
        <v>1586</v>
      </c>
      <c r="I587">
        <v>0.01</v>
      </c>
      <c r="J587" t="b">
        <v>1</v>
      </c>
    </row>
    <row r="588" spans="1:10" x14ac:dyDescent="0.25">
      <c r="A588" t="s">
        <v>599</v>
      </c>
      <c r="B588">
        <v>4</v>
      </c>
      <c r="C588" t="s">
        <v>113</v>
      </c>
      <c r="D588">
        <v>300</v>
      </c>
      <c r="E588">
        <v>7</v>
      </c>
      <c r="F588">
        <v>1630</v>
      </c>
      <c r="G588">
        <v>0.84240000000000004</v>
      </c>
      <c r="H588">
        <v>1630</v>
      </c>
      <c r="I588">
        <v>0.01</v>
      </c>
      <c r="J588" t="b">
        <v>1</v>
      </c>
    </row>
    <row r="589" spans="1:10" x14ac:dyDescent="0.25">
      <c r="A589" t="s">
        <v>604</v>
      </c>
      <c r="B589">
        <v>4</v>
      </c>
      <c r="C589" t="s">
        <v>113</v>
      </c>
      <c r="D589">
        <v>300</v>
      </c>
      <c r="E589">
        <v>8</v>
      </c>
      <c r="F589">
        <v>1636</v>
      </c>
      <c r="G589">
        <v>0.70509999999999995</v>
      </c>
      <c r="H589">
        <v>1636</v>
      </c>
      <c r="I589">
        <v>0.01</v>
      </c>
      <c r="J589" t="b">
        <v>1</v>
      </c>
    </row>
    <row r="590" spans="1:10" x14ac:dyDescent="0.25">
      <c r="A590" t="s">
        <v>579</v>
      </c>
      <c r="B590">
        <v>4</v>
      </c>
      <c r="C590" t="s">
        <v>113</v>
      </c>
      <c r="D590">
        <v>300</v>
      </c>
      <c r="E590">
        <v>3</v>
      </c>
      <c r="F590">
        <v>1555</v>
      </c>
      <c r="G590">
        <v>0.75149999999999995</v>
      </c>
      <c r="H590">
        <v>1555</v>
      </c>
      <c r="I590">
        <v>9.2999999999999992E-3</v>
      </c>
      <c r="J590" t="b">
        <v>1</v>
      </c>
    </row>
    <row r="591" spans="1:10" x14ac:dyDescent="0.25">
      <c r="A591" t="s">
        <v>509</v>
      </c>
      <c r="B591">
        <v>4</v>
      </c>
      <c r="C591" t="s">
        <v>11</v>
      </c>
      <c r="D591">
        <v>300</v>
      </c>
      <c r="E591">
        <v>9</v>
      </c>
      <c r="F591">
        <v>1305</v>
      </c>
      <c r="G591">
        <v>0.71089999999999998</v>
      </c>
      <c r="H591">
        <v>1305</v>
      </c>
      <c r="I591">
        <v>9.1000000000000004E-3</v>
      </c>
      <c r="J591" t="b">
        <v>1</v>
      </c>
    </row>
    <row r="592" spans="1:10" x14ac:dyDescent="0.25">
      <c r="A592" t="s">
        <v>529</v>
      </c>
      <c r="B592">
        <v>4</v>
      </c>
      <c r="C592" t="s">
        <v>62</v>
      </c>
      <c r="D592">
        <v>300</v>
      </c>
      <c r="E592">
        <v>3</v>
      </c>
      <c r="F592">
        <v>1345</v>
      </c>
      <c r="G592">
        <v>0.71579999999999999</v>
      </c>
      <c r="H592">
        <v>1345</v>
      </c>
      <c r="I592">
        <v>9.1000000000000004E-3</v>
      </c>
      <c r="J592" t="b">
        <v>1</v>
      </c>
    </row>
    <row r="593" spans="1:10" x14ac:dyDescent="0.25">
      <c r="A593" t="s">
        <v>489</v>
      </c>
      <c r="B593">
        <v>4</v>
      </c>
      <c r="C593" t="s">
        <v>11</v>
      </c>
      <c r="D593">
        <v>300</v>
      </c>
      <c r="E593">
        <v>5</v>
      </c>
      <c r="F593">
        <v>1335</v>
      </c>
      <c r="G593">
        <v>0.67630000000000001</v>
      </c>
      <c r="H593">
        <v>1335</v>
      </c>
      <c r="I593">
        <v>8.9999999999999993E-3</v>
      </c>
      <c r="J593" t="b">
        <v>1</v>
      </c>
    </row>
    <row r="594" spans="1:10" x14ac:dyDescent="0.25">
      <c r="A594" t="s">
        <v>459</v>
      </c>
      <c r="B594">
        <v>3</v>
      </c>
      <c r="C594" t="s">
        <v>113</v>
      </c>
      <c r="D594">
        <v>300</v>
      </c>
      <c r="E594">
        <v>9</v>
      </c>
      <c r="F594">
        <v>1610</v>
      </c>
      <c r="G594">
        <v>0.4466</v>
      </c>
      <c r="H594">
        <v>1610</v>
      </c>
      <c r="I594">
        <v>8.5000000000000006E-3</v>
      </c>
      <c r="J594" t="b">
        <v>1</v>
      </c>
    </row>
    <row r="595" spans="1:10" x14ac:dyDescent="0.25">
      <c r="A595" t="s">
        <v>479</v>
      </c>
      <c r="B595">
        <v>4</v>
      </c>
      <c r="C595" t="s">
        <v>11</v>
      </c>
      <c r="D595">
        <v>300</v>
      </c>
      <c r="E595">
        <v>3</v>
      </c>
      <c r="F595">
        <v>1335</v>
      </c>
      <c r="G595">
        <v>0.72109999999999996</v>
      </c>
      <c r="H595">
        <v>1335</v>
      </c>
      <c r="I595">
        <v>8.0000000000000002E-3</v>
      </c>
      <c r="J595" t="b">
        <v>1</v>
      </c>
    </row>
    <row r="596" spans="1:10" x14ac:dyDescent="0.25">
      <c r="A596" t="s">
        <v>594</v>
      </c>
      <c r="B596">
        <v>4</v>
      </c>
      <c r="C596" t="s">
        <v>113</v>
      </c>
      <c r="D596">
        <v>300</v>
      </c>
      <c r="E596">
        <v>6</v>
      </c>
      <c r="F596">
        <v>1718</v>
      </c>
      <c r="G596">
        <v>0.73660000000000003</v>
      </c>
      <c r="H596">
        <v>1718</v>
      </c>
      <c r="I596">
        <v>7.0000000000000001E-3</v>
      </c>
      <c r="J596" t="b">
        <v>1</v>
      </c>
    </row>
    <row r="597" spans="1:10" x14ac:dyDescent="0.25">
      <c r="A597" t="s">
        <v>454</v>
      </c>
      <c r="B597">
        <v>3</v>
      </c>
      <c r="C597" t="s">
        <v>113</v>
      </c>
      <c r="D597">
        <v>300</v>
      </c>
      <c r="E597">
        <v>8</v>
      </c>
      <c r="F597">
        <v>1653</v>
      </c>
      <c r="G597">
        <v>0.38250000000000001</v>
      </c>
      <c r="H597">
        <v>1653</v>
      </c>
      <c r="I597">
        <v>6.4000000000000003E-3</v>
      </c>
      <c r="J597" t="b">
        <v>1</v>
      </c>
    </row>
    <row r="598" spans="1:10" x14ac:dyDescent="0.25">
      <c r="A598" t="s">
        <v>544</v>
      </c>
      <c r="B598">
        <v>4</v>
      </c>
      <c r="C598" t="s">
        <v>62</v>
      </c>
      <c r="D598">
        <v>300</v>
      </c>
      <c r="E598">
        <v>6</v>
      </c>
      <c r="F598">
        <v>1425</v>
      </c>
      <c r="G598">
        <v>0.69420000000000004</v>
      </c>
      <c r="H598">
        <v>1425</v>
      </c>
      <c r="I598">
        <v>6.1999999999999998E-3</v>
      </c>
      <c r="J598" t="b">
        <v>1</v>
      </c>
    </row>
    <row r="599" spans="1:10" x14ac:dyDescent="0.25">
      <c r="A599" t="s">
        <v>514</v>
      </c>
      <c r="B599">
        <v>4</v>
      </c>
      <c r="C599" t="s">
        <v>62</v>
      </c>
      <c r="D599">
        <v>300</v>
      </c>
      <c r="E599">
        <v>10</v>
      </c>
      <c r="F599">
        <v>1345</v>
      </c>
      <c r="G599">
        <v>0.77329999999999999</v>
      </c>
      <c r="H599">
        <v>1345</v>
      </c>
      <c r="I599">
        <v>5.0000000000000001E-3</v>
      </c>
      <c r="J599" t="b">
        <v>1</v>
      </c>
    </row>
    <row r="600" spans="1:10" x14ac:dyDescent="0.25">
      <c r="A600" t="s">
        <v>468</v>
      </c>
      <c r="B600">
        <v>4</v>
      </c>
      <c r="C600" t="s">
        <v>11</v>
      </c>
      <c r="D600">
        <v>1000</v>
      </c>
      <c r="E600">
        <v>1</v>
      </c>
      <c r="F600">
        <v>4640</v>
      </c>
      <c r="G600">
        <v>147.61099999999999</v>
      </c>
      <c r="J600" t="b">
        <v>0</v>
      </c>
    </row>
    <row r="601" spans="1:10" x14ac:dyDescent="0.25">
      <c r="A601" t="s">
        <v>497</v>
      </c>
      <c r="B601">
        <v>4</v>
      </c>
      <c r="C601" t="s">
        <v>11</v>
      </c>
      <c r="D601">
        <v>800</v>
      </c>
      <c r="E601">
        <v>6</v>
      </c>
      <c r="F601">
        <v>3570</v>
      </c>
      <c r="G601">
        <v>62.766399999999997</v>
      </c>
      <c r="J601" t="b">
        <v>0</v>
      </c>
    </row>
  </sheetData>
  <autoFilter ref="A1:J601" xr:uid="{B1759F58-D4E0-4119-9EA9-203284EFEBCF}">
    <sortState xmlns:xlrd2="http://schemas.microsoft.com/office/spreadsheetml/2017/richdata2" ref="A2:J601">
      <sortCondition descending="1" ref="I1:I6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86BE8-2626-4ECB-99E8-8B2EF9DCB661}">
  <dimension ref="A1:O144"/>
  <sheetViews>
    <sheetView topLeftCell="A39" zoomScaleNormal="100" workbookViewId="0">
      <selection activeCell="A50" sqref="A50:J67"/>
    </sheetView>
  </sheetViews>
  <sheetFormatPr defaultRowHeight="15" x14ac:dyDescent="0.25"/>
  <cols>
    <col min="1" max="1" width="51" bestFit="1" customWidth="1"/>
    <col min="2" max="2" width="23.140625" bestFit="1" customWidth="1"/>
    <col min="3" max="3" width="15.140625" bestFit="1" customWidth="1"/>
    <col min="4" max="4" width="14.140625" bestFit="1" customWidth="1"/>
    <col min="5" max="5" width="15.42578125" bestFit="1" customWidth="1"/>
    <col min="6" max="6" width="17.28515625" bestFit="1" customWidth="1"/>
    <col min="7" max="7" width="14.42578125" bestFit="1" customWidth="1"/>
    <col min="8" max="8" width="16.140625" bestFit="1" customWidth="1"/>
    <col min="9" max="9" width="10.28515625" bestFit="1" customWidth="1"/>
    <col min="10" max="10" width="8" bestFit="1" customWidth="1"/>
    <col min="11" max="11" width="14.5703125" bestFit="1" customWidth="1"/>
    <col min="12" max="15" width="11" bestFit="1" customWidth="1"/>
  </cols>
  <sheetData>
    <row r="1" spans="1:8" ht="18.75" x14ac:dyDescent="0.3">
      <c r="A1" s="1" t="s">
        <v>613</v>
      </c>
    </row>
    <row r="3" spans="1:8" ht="15.75" x14ac:dyDescent="0.25">
      <c r="A3" s="2" t="s">
        <v>614</v>
      </c>
    </row>
    <row r="4" spans="1:8" x14ac:dyDescent="0.25">
      <c r="A4" s="3" t="s">
        <v>615</v>
      </c>
      <c r="B4">
        <f>COUNTA(kpdwfs_results!A2:A601)</f>
        <v>600</v>
      </c>
    </row>
    <row r="5" spans="1:8" x14ac:dyDescent="0.25">
      <c r="A5" s="3" t="s">
        <v>616</v>
      </c>
      <c r="B5" s="4" cm="1">
        <f t="array" ref="B5">SUMPRODUCT(--(kpdwfs_results!J2:J601&lt;&gt;TRUE))</f>
        <v>2</v>
      </c>
    </row>
    <row r="6" spans="1:8" x14ac:dyDescent="0.25">
      <c r="A6" s="3" t="s">
        <v>617</v>
      </c>
      <c r="B6" s="4" t="str">
        <f>IF(B5=0,"✅ All objective values are identical","⚠️ "&amp;B5&amp;" mismatches found")</f>
        <v>⚠️ 2 mismatches found</v>
      </c>
    </row>
    <row r="8" spans="1:8" ht="15.75" x14ac:dyDescent="0.25">
      <c r="A8" s="2" t="s">
        <v>618</v>
      </c>
    </row>
    <row r="9" spans="1:8" x14ac:dyDescent="0.25">
      <c r="A9" s="5" t="s">
        <v>619</v>
      </c>
      <c r="B9" s="6" t="s">
        <v>620</v>
      </c>
      <c r="C9" s="6" t="s">
        <v>621</v>
      </c>
      <c r="D9" s="6" t="s">
        <v>622</v>
      </c>
      <c r="E9" s="6" t="s">
        <v>623</v>
      </c>
      <c r="F9" s="6" t="s">
        <v>624</v>
      </c>
      <c r="G9" s="6" t="s">
        <v>625</v>
      </c>
    </row>
    <row r="10" spans="1:8" x14ac:dyDescent="0.25">
      <c r="A10" s="3" t="s">
        <v>626</v>
      </c>
      <c r="B10" s="7">
        <f>AVERAGE(kpdwfs_results!G2:G601)</f>
        <v>27.157746000000003</v>
      </c>
      <c r="C10" s="7">
        <f>MEDIAN(kpdwfs_results!G2:G601)</f>
        <v>5.8207000000000004</v>
      </c>
      <c r="D10" s="7">
        <f>STDEV(kpdwfs_results!G2:G601)</f>
        <v>45.062278473571048</v>
      </c>
      <c r="E10" s="7">
        <f>MIN(kpdwfs_results!G2:G601)</f>
        <v>0.34439999999999998</v>
      </c>
      <c r="F10" s="7">
        <f>MAX(kpdwfs_results!G2:G601)</f>
        <v>179.4152</v>
      </c>
      <c r="G10" s="8">
        <f>COUNT(kpdwfs_results!G2:G601)</f>
        <v>600</v>
      </c>
    </row>
    <row r="11" spans="1:8" x14ac:dyDescent="0.25">
      <c r="A11" s="3" t="s">
        <v>627</v>
      </c>
      <c r="B11" s="9">
        <f>AVERAGE(kpdwfs_results!I2:I601)</f>
        <v>6.7764662207357835</v>
      </c>
      <c r="C11" s="9">
        <f>MEDIAN(kpdwfs_results!I2:I601)</f>
        <v>4.0550000000000003E-2</v>
      </c>
      <c r="D11" s="9">
        <f>STDEV(kpdwfs_results!I2:I601)</f>
        <v>145.69444983931197</v>
      </c>
      <c r="E11" s="9">
        <f>MIN(kpdwfs_results!I2:I601)</f>
        <v>5.0000000000000001E-3</v>
      </c>
      <c r="F11" s="9">
        <f>MAX(kpdwfs_results!I2:I601)</f>
        <v>3545.2772</v>
      </c>
      <c r="G11" s="8">
        <f>COUNT(kpdwfs_results!I2:I601)</f>
        <v>598</v>
      </c>
    </row>
    <row r="12" spans="1:8" x14ac:dyDescent="0.25">
      <c r="A12" s="4" t="s">
        <v>628</v>
      </c>
      <c r="B12" s="10">
        <f>B10/B11</f>
        <v>4.0076560725556503</v>
      </c>
      <c r="C12" s="10">
        <f>C10/C11</f>
        <v>143.54377311960542</v>
      </c>
    </row>
    <row r="14" spans="1:8" ht="15.75" x14ac:dyDescent="0.25">
      <c r="A14" s="2" t="s">
        <v>629</v>
      </c>
    </row>
    <row r="15" spans="1:8" x14ac:dyDescent="0.25">
      <c r="A15" s="5" t="s">
        <v>630</v>
      </c>
      <c r="B15" s="6" t="s">
        <v>631</v>
      </c>
      <c r="C15" s="6" t="s">
        <v>632</v>
      </c>
      <c r="D15" s="6" t="s">
        <v>633</v>
      </c>
      <c r="E15" s="6" t="s">
        <v>634</v>
      </c>
      <c r="F15" s="6" t="s">
        <v>635</v>
      </c>
      <c r="G15" s="6" t="s">
        <v>636</v>
      </c>
      <c r="H15" s="6" t="s">
        <v>637</v>
      </c>
    </row>
    <row r="16" spans="1:8" x14ac:dyDescent="0.25">
      <c r="A16" t="s">
        <v>638</v>
      </c>
      <c r="B16" s="8">
        <f>COUNTIF(kpdwfs_results!$B$2:$B$601,1)</f>
        <v>150</v>
      </c>
      <c r="C16" s="7">
        <f>AVERAGEIF(kpdwfs_results!$B$2:$B$601,1,kpdwfs_results!$G$2:$G$601)</f>
        <v>6.1476113333333338</v>
      </c>
      <c r="D16" s="7" cm="1">
        <f t="array" ref="D16">IFERROR(_xlfn.AGGREGATE(17,6,kpdwfs_results!$G$2:$G$601/(kpdwfs_results!$B$2:$B$601=1),2),"")</f>
        <v>5.2171000000000003</v>
      </c>
      <c r="E16" s="9">
        <f>AVERAGEIF(kpdwfs_results!$B$2:$B$601,1,kpdwfs_results!$I$2:$I$601)</f>
        <v>7.6461333333333312E-2</v>
      </c>
      <c r="F16" s="9" cm="1">
        <f t="array" ref="F16">IFERROR(_xlfn.AGGREGATE(17,6,kpdwfs_results!$I$2:$I$601/(kpdwfs_results!$B$2:$B$601=1),2),"")</f>
        <v>7.46E-2</v>
      </c>
      <c r="G16" s="11">
        <f t="shared" ref="G16:H19" si="0">C16/E16</f>
        <v>80.401571164510202</v>
      </c>
      <c r="H16" s="11">
        <f t="shared" si="0"/>
        <v>69.934316353887397</v>
      </c>
    </row>
    <row r="17" spans="1:8" x14ac:dyDescent="0.25">
      <c r="A17" t="s">
        <v>639</v>
      </c>
      <c r="B17" s="8">
        <f>COUNTIF(kpdwfs_results!$B$2:$B$601,2)</f>
        <v>150</v>
      </c>
      <c r="C17" s="7">
        <f>AVERAGEIF(kpdwfs_results!$B$2:$B$601,2,kpdwfs_results!$G$2:$G$601)</f>
        <v>3.7086106666666669</v>
      </c>
      <c r="D17" s="7" cm="1">
        <f t="array" ref="D17">IFERROR(_xlfn.AGGREGATE(17,6,kpdwfs_results!$G$2:$G$601/(kpdwfs_results!$B$2:$B$601=2),2),"")</f>
        <v>3.6596500000000001</v>
      </c>
      <c r="E17" s="9">
        <f>AVERAGEIF(kpdwfs_results!$B$2:$B$601,2,kpdwfs_results!$I$2:$I$601)</f>
        <v>4.7151999999999993E-2</v>
      </c>
      <c r="F17" s="9" cm="1">
        <f t="array" ref="F17">IFERROR(_xlfn.AGGREGATE(17,6,kpdwfs_results!$I$2:$I$601/(kpdwfs_results!$B$2:$B$601=2),2),"")</f>
        <v>4.3700000000000003E-2</v>
      </c>
      <c r="G17" s="11">
        <f t="shared" si="0"/>
        <v>78.652245221128851</v>
      </c>
      <c r="H17" s="11">
        <f t="shared" si="0"/>
        <v>83.744851258581235</v>
      </c>
    </row>
    <row r="18" spans="1:8" x14ac:dyDescent="0.25">
      <c r="A18" t="s">
        <v>640</v>
      </c>
      <c r="B18" s="8">
        <f>COUNTIF(kpdwfs_results!$B$2:$B$601,3)</f>
        <v>150</v>
      </c>
      <c r="C18" s="7">
        <f>AVERAGEIF(kpdwfs_results!$B$2:$B$601,3,kpdwfs_results!$G$2:$G$601)</f>
        <v>52.047582666666635</v>
      </c>
      <c r="D18" s="7" cm="1">
        <f t="array" ref="D18">IFERROR(_xlfn.AGGREGATE(17,6,kpdwfs_results!$G$2:$G$601/(kpdwfs_results!$B$2:$B$601=3),2),"")</f>
        <v>23.8719</v>
      </c>
      <c r="E18" s="9">
        <f>AVERAGEIF(kpdwfs_results!$B$2:$B$601,3,kpdwfs_results!$I$2:$I$601)</f>
        <v>23.996766000000008</v>
      </c>
      <c r="F18" s="9" cm="1">
        <f t="array" ref="F18">IFERROR(_xlfn.AGGREGATE(17,6,kpdwfs_results!$I$2:$I$601/(kpdwfs_results!$B$2:$B$601=3),2),"")</f>
        <v>3.2100000000000004E-2</v>
      </c>
      <c r="G18" s="11">
        <f t="shared" si="0"/>
        <v>2.1689415426506478</v>
      </c>
      <c r="H18" s="11">
        <f t="shared" si="0"/>
        <v>743.6728971962616</v>
      </c>
    </row>
    <row r="19" spans="1:8" x14ac:dyDescent="0.25">
      <c r="A19" t="s">
        <v>641</v>
      </c>
      <c r="B19" s="8">
        <f>COUNTIF(kpdwfs_results!$B$2:$B$601,4)</f>
        <v>150</v>
      </c>
      <c r="C19" s="7">
        <f>AVERAGEIF(kpdwfs_results!$B$2:$B$601,4,kpdwfs_results!$G$2:$G$601)</f>
        <v>46.727179333333325</v>
      </c>
      <c r="D19" s="7" cm="1">
        <f t="array" ref="D19">IFERROR(_xlfn.AGGREGATE(17,6,kpdwfs_results!$G$2:$G$601/(kpdwfs_results!$B$2:$B$601=4),2),"")</f>
        <v>22.855499999999999</v>
      </c>
      <c r="E19" s="9">
        <f>AVERAGEIF(kpdwfs_results!$B$2:$B$601,4,kpdwfs_results!$I$2:$I$601)</f>
        <v>2.9342560810810783</v>
      </c>
      <c r="F19" s="9" cm="1">
        <f t="array" ref="F19">IFERROR(_xlfn.AGGREGATE(17,6,kpdwfs_results!$I$2:$I$601/(kpdwfs_results!$B$2:$B$601=4),2),"")</f>
        <v>2.6599999999999999E-2</v>
      </c>
      <c r="G19" s="11">
        <f t="shared" si="0"/>
        <v>15.924710741714632</v>
      </c>
      <c r="H19" s="11">
        <f t="shared" si="0"/>
        <v>859.22932330827064</v>
      </c>
    </row>
    <row r="21" spans="1:8" ht="15.75" x14ac:dyDescent="0.25">
      <c r="A21" s="2" t="s">
        <v>642</v>
      </c>
    </row>
    <row r="22" spans="1:8" x14ac:dyDescent="0.25">
      <c r="A22" s="5" t="s">
        <v>643</v>
      </c>
      <c r="B22" s="6" t="s">
        <v>631</v>
      </c>
      <c r="C22" s="6" t="s">
        <v>632</v>
      </c>
      <c r="D22" s="6" t="s">
        <v>633</v>
      </c>
      <c r="E22" s="6" t="s">
        <v>634</v>
      </c>
      <c r="F22" s="6" t="s">
        <v>635</v>
      </c>
      <c r="G22" s="6" t="s">
        <v>636</v>
      </c>
      <c r="H22" s="6" t="s">
        <v>637</v>
      </c>
    </row>
    <row r="23" spans="1:8" x14ac:dyDescent="0.25">
      <c r="A23" t="s">
        <v>644</v>
      </c>
      <c r="B23" s="8">
        <f>COUNTIF(kpdwfs_results!$C$2:$C$601,"C")</f>
        <v>200</v>
      </c>
      <c r="C23" s="7">
        <f>AVERAGEIF(kpdwfs_results!$C$2:$C$601,"C",kpdwfs_results!$G$2:$G$601)</f>
        <v>27.4932865</v>
      </c>
      <c r="D23" s="7" cm="1">
        <f t="array" ref="D23">IFERROR(_xlfn.AGGREGATE(17,6,kpdwfs_results!$G$2:$G$601/(kpdwfs_results!$C$2:$C$601="C"),2),"")</f>
        <v>5.9591500000000002</v>
      </c>
      <c r="E23" s="9">
        <f>AVERAGEIF(kpdwfs_results!$C$2:$C$601,"C",kpdwfs_results!$I$2:$I$601)</f>
        <v>2.3609939393939392</v>
      </c>
      <c r="F23" s="9" cm="1">
        <f t="array" ref="F23">IFERROR(_xlfn.AGGREGATE(17,6,kpdwfs_results!$I$2:$I$601/(kpdwfs_results!$C$2:$C$601="C"),2),"")</f>
        <v>4.5999999999999999E-2</v>
      </c>
      <c r="G23" s="11">
        <f t="shared" ref="G23:H25" si="1">C23/E23</f>
        <v>11.644793339476955</v>
      </c>
      <c r="H23" s="11">
        <f t="shared" si="1"/>
        <v>129.54673913043479</v>
      </c>
    </row>
    <row r="24" spans="1:8" x14ac:dyDescent="0.25">
      <c r="A24" t="s">
        <v>645</v>
      </c>
      <c r="B24" s="8">
        <f>COUNTIF(kpdwfs_results!$C$2:$C$601,"FC")</f>
        <v>200</v>
      </c>
      <c r="C24" s="7">
        <f>AVERAGEIF(kpdwfs_results!$C$2:$C$601,"FC",kpdwfs_results!$G$2:$G$601)</f>
        <v>27.032026500000008</v>
      </c>
      <c r="D24" s="7" cm="1">
        <f t="array" ref="D24">IFERROR(_xlfn.AGGREGATE(17,6,kpdwfs_results!$G$2:$G$601/(kpdwfs_results!$C$2:$C$601="FC"),2),"")</f>
        <v>6.0133000000000001</v>
      </c>
      <c r="E24" s="9">
        <f>AVERAGEIF(kpdwfs_results!$C$2:$C$601,"FC",kpdwfs_results!$I$2:$I$601)</f>
        <v>17.884294499999996</v>
      </c>
      <c r="F24" s="9" cm="1">
        <f t="array" ref="F24">IFERROR(_xlfn.AGGREGATE(17,6,kpdwfs_results!$I$2:$I$601/(kpdwfs_results!$C$2:$C$601="FC"),2),"")</f>
        <v>4.5600000000000002E-2</v>
      </c>
      <c r="G24" s="11">
        <f t="shared" si="1"/>
        <v>1.5114952675376718</v>
      </c>
      <c r="H24" s="11">
        <f t="shared" si="1"/>
        <v>131.87061403508773</v>
      </c>
    </row>
    <row r="25" spans="1:8" x14ac:dyDescent="0.25">
      <c r="A25" t="s">
        <v>646</v>
      </c>
      <c r="B25" s="8">
        <f>COUNTIF(kpdwfs_results!$C$2:$C$601,"NC")</f>
        <v>200</v>
      </c>
      <c r="C25" s="7">
        <f>AVERAGEIF(kpdwfs_results!$C$2:$C$601,"NC",kpdwfs_results!$G$2:$G$601)</f>
        <v>26.947924999999991</v>
      </c>
      <c r="D25" s="7" cm="1">
        <f t="array" ref="D25">IFERROR(_xlfn.AGGREGATE(17,6,kpdwfs_results!$G$2:$G$601/(kpdwfs_results!$C$2:$C$601="NC"),2),"")</f>
        <v>5.6934000000000005</v>
      </c>
      <c r="E25" s="9">
        <f>AVERAGEIF(kpdwfs_results!$C$2:$C$601,"NC",kpdwfs_results!$I$2:$I$601)</f>
        <v>3.995549999999997E-2</v>
      </c>
      <c r="F25" s="9" cm="1">
        <f t="array" ref="F25">IFERROR(_xlfn.AGGREGATE(17,6,kpdwfs_results!$I$2:$I$601/(kpdwfs_results!$C$2:$C$601="NC"),2),"")</f>
        <v>3.1699999999999999E-2</v>
      </c>
      <c r="G25" s="11">
        <f t="shared" si="1"/>
        <v>674.44844889940089</v>
      </c>
      <c r="H25" s="11">
        <f t="shared" si="1"/>
        <v>179.602523659306</v>
      </c>
    </row>
    <row r="27" spans="1:8" ht="15.75" x14ac:dyDescent="0.25">
      <c r="A27" s="2" t="s">
        <v>647</v>
      </c>
    </row>
    <row r="29" spans="1:8" x14ac:dyDescent="0.25">
      <c r="A29" s="12" t="s">
        <v>648</v>
      </c>
    </row>
    <row r="30" spans="1:8" x14ac:dyDescent="0.25">
      <c r="A30" s="13"/>
      <c r="B30" s="6" t="s">
        <v>644</v>
      </c>
      <c r="C30" s="6" t="s">
        <v>645</v>
      </c>
      <c r="D30" s="6" t="s">
        <v>646</v>
      </c>
    </row>
    <row r="31" spans="1:8" x14ac:dyDescent="0.25">
      <c r="A31" s="5" t="s">
        <v>638</v>
      </c>
      <c r="B31" s="7">
        <f>AVERAGEIFS(kpdwfs_results!$G$2:$G$601,kpdwfs_results!$B$2:$B$601,1,kpdwfs_results!$C$2:$C$601,"C")</f>
        <v>5.9267640000000021</v>
      </c>
      <c r="C31" s="7">
        <f>AVERAGEIFS(kpdwfs_results!$G$2:$G$601,kpdwfs_results!$B$2:$B$601,1,kpdwfs_results!$C$2:$C$601,"FC")</f>
        <v>6.4004079999999988</v>
      </c>
      <c r="D31" s="7">
        <f>AVERAGEIFS(kpdwfs_results!$G$2:$G$601,kpdwfs_results!$B$2:$B$601,1,kpdwfs_results!$C$2:$C$601,"NC")</f>
        <v>6.1156620000000022</v>
      </c>
    </row>
    <row r="32" spans="1:8" x14ac:dyDescent="0.25">
      <c r="A32" s="5" t="s">
        <v>639</v>
      </c>
      <c r="B32" s="7">
        <f>AVERAGEIFS(kpdwfs_results!$G$2:$G$601,kpdwfs_results!$B$2:$B$601,2,kpdwfs_results!$C$2:$C$601,"C")</f>
        <v>3.689019999999998</v>
      </c>
      <c r="C32" s="7">
        <f>AVERAGEIFS(kpdwfs_results!$G$2:$G$601,kpdwfs_results!$B$2:$B$601,2,kpdwfs_results!$C$2:$C$601,"FC")</f>
        <v>3.8574299999999995</v>
      </c>
      <c r="D32" s="7">
        <f>AVERAGEIFS(kpdwfs_results!$G$2:$G$601,kpdwfs_results!$B$2:$B$601,2,kpdwfs_results!$C$2:$C$601,"NC")</f>
        <v>3.5793819999999998</v>
      </c>
    </row>
    <row r="33" spans="1:4" x14ac:dyDescent="0.25">
      <c r="A33" s="5" t="s">
        <v>640</v>
      </c>
      <c r="B33" s="7">
        <f>AVERAGEIFS(kpdwfs_results!$G$2:$G$601,kpdwfs_results!$B$2:$B$601,3,kpdwfs_results!$C$2:$C$601,"C")</f>
        <v>55.111504000000011</v>
      </c>
      <c r="C33" s="7">
        <f>AVERAGEIFS(kpdwfs_results!$G$2:$G$601,kpdwfs_results!$B$2:$B$601,3,kpdwfs_results!$C$2:$C$601,"FC")</f>
        <v>50.496890000000022</v>
      </c>
      <c r="D33" s="7">
        <f>AVERAGEIFS(kpdwfs_results!$G$2:$G$601,kpdwfs_results!$B$2:$B$601,3,kpdwfs_results!$C$2:$C$601,"NC")</f>
        <v>50.534354000000022</v>
      </c>
    </row>
    <row r="34" spans="1:4" x14ac:dyDescent="0.25">
      <c r="A34" s="5" t="s">
        <v>641</v>
      </c>
      <c r="B34" s="7">
        <f>AVERAGEIFS(kpdwfs_results!$G$2:$G$601,kpdwfs_results!$B$2:$B$601,4,kpdwfs_results!$C$2:$C$601,"C")</f>
        <v>45.24585800000002</v>
      </c>
      <c r="C34" s="7">
        <f>AVERAGEIFS(kpdwfs_results!$G$2:$G$601,kpdwfs_results!$B$2:$B$601,4,kpdwfs_results!$C$2:$C$601,"FC")</f>
        <v>47.373377999999974</v>
      </c>
      <c r="D34" s="7">
        <f>AVERAGEIFS(kpdwfs_results!$G$2:$G$601,kpdwfs_results!$B$2:$B$601,4,kpdwfs_results!$C$2:$C$601,"NC")</f>
        <v>47.562301999999988</v>
      </c>
    </row>
    <row r="36" spans="1:4" x14ac:dyDescent="0.25">
      <c r="A36" s="14" t="s">
        <v>649</v>
      </c>
    </row>
    <row r="37" spans="1:4" x14ac:dyDescent="0.25">
      <c r="A37" s="13"/>
      <c r="B37" s="6" t="s">
        <v>644</v>
      </c>
      <c r="C37" s="6" t="s">
        <v>645</v>
      </c>
      <c r="D37" s="6" t="s">
        <v>646</v>
      </c>
    </row>
    <row r="38" spans="1:4" x14ac:dyDescent="0.25">
      <c r="A38" s="5" t="s">
        <v>638</v>
      </c>
      <c r="B38" s="9">
        <f>AVERAGEIFS(kpdwfs_results!$I$2:$I$601,kpdwfs_results!$B$2:$B$601,1,kpdwfs_results!$C$2:$C$601,"C")</f>
        <v>8.8545999999999972E-2</v>
      </c>
      <c r="C38" s="9">
        <f>AVERAGEIFS(kpdwfs_results!$I$2:$I$601,kpdwfs_results!$B$2:$B$601,1,kpdwfs_results!$C$2:$C$601,"FC")</f>
        <v>7.4922000000000002E-2</v>
      </c>
      <c r="D38" s="9">
        <f>AVERAGEIFS(kpdwfs_results!$I$2:$I$601,kpdwfs_results!$B$2:$B$601,1,kpdwfs_results!$C$2:$C$601,"NC")</f>
        <v>6.5916000000000016E-2</v>
      </c>
    </row>
    <row r="39" spans="1:4" x14ac:dyDescent="0.25">
      <c r="A39" s="5" t="s">
        <v>639</v>
      </c>
      <c r="B39" s="9">
        <f>AVERAGEIFS(kpdwfs_results!$I$2:$I$601,kpdwfs_results!$B$2:$B$601,2,kpdwfs_results!$C$2:$C$601,"C")</f>
        <v>4.9425999999999998E-2</v>
      </c>
      <c r="C39" s="9">
        <f>AVERAGEIFS(kpdwfs_results!$I$2:$I$601,kpdwfs_results!$B$2:$B$601,2,kpdwfs_results!$C$2:$C$601,"FC")</f>
        <v>4.4282000000000016E-2</v>
      </c>
      <c r="D39" s="9">
        <f>AVERAGEIFS(kpdwfs_results!$I$2:$I$601,kpdwfs_results!$B$2:$B$601,2,kpdwfs_results!$C$2:$C$601,"NC")</f>
        <v>4.7747999999999985E-2</v>
      </c>
    </row>
    <row r="40" spans="1:4" x14ac:dyDescent="0.25">
      <c r="A40" s="5" t="s">
        <v>640</v>
      </c>
      <c r="B40" s="9">
        <f>AVERAGEIFS(kpdwfs_results!$I$2:$I$601,kpdwfs_results!$B$2:$B$601,3,kpdwfs_results!$C$2:$C$601,"C")</f>
        <v>0.97337000000000018</v>
      </c>
      <c r="C40" s="9">
        <f>AVERAGEIFS(kpdwfs_results!$I$2:$I$601,kpdwfs_results!$B$2:$B$601,3,kpdwfs_results!$C$2:$C$601,"FC")</f>
        <v>70.992322000000001</v>
      </c>
      <c r="D40" s="9">
        <f>AVERAGEIFS(kpdwfs_results!$I$2:$I$601,kpdwfs_results!$B$2:$B$601,3,kpdwfs_results!$C$2:$C$601,"NC")</f>
        <v>2.4605999999999999E-2</v>
      </c>
    </row>
    <row r="41" spans="1:4" x14ac:dyDescent="0.25">
      <c r="A41" s="5" t="s">
        <v>641</v>
      </c>
      <c r="B41" s="9">
        <f>AVERAGEIFS(kpdwfs_results!$I$2:$I$601,kpdwfs_results!$B$2:$B$601,4,kpdwfs_results!$C$2:$C$601,"C")</f>
        <v>8.5814520833333283</v>
      </c>
      <c r="C41" s="9">
        <f>AVERAGEIFS(kpdwfs_results!$I$2:$I$601,kpdwfs_results!$B$2:$B$601,4,kpdwfs_results!$C$2:$C$601,"FC")</f>
        <v>0.42565199999999981</v>
      </c>
      <c r="D41" s="9">
        <f>AVERAGEIFS(kpdwfs_results!$I$2:$I$601,kpdwfs_results!$B$2:$B$601,4,kpdwfs_results!$C$2:$C$601,"NC")</f>
        <v>2.1552000000000002E-2</v>
      </c>
    </row>
    <row r="43" spans="1:4" x14ac:dyDescent="0.25">
      <c r="A43" s="15" t="s">
        <v>628</v>
      </c>
    </row>
    <row r="44" spans="1:4" x14ac:dyDescent="0.25">
      <c r="A44" s="13"/>
      <c r="B44" s="6" t="s">
        <v>644</v>
      </c>
      <c r="C44" s="6" t="s">
        <v>645</v>
      </c>
      <c r="D44" s="6" t="s">
        <v>646</v>
      </c>
    </row>
    <row r="45" spans="1:4" x14ac:dyDescent="0.25">
      <c r="A45" s="5" t="s">
        <v>638</v>
      </c>
      <c r="B45" s="10">
        <f t="shared" ref="B45:D48" si="2">B31/B38</f>
        <v>66.934294039256471</v>
      </c>
      <c r="C45" s="10">
        <f t="shared" si="2"/>
        <v>85.427618056111669</v>
      </c>
      <c r="D45" s="10">
        <f t="shared" si="2"/>
        <v>92.779628618241404</v>
      </c>
    </row>
    <row r="46" spans="1:4" x14ac:dyDescent="0.25">
      <c r="A46" s="5" t="s">
        <v>639</v>
      </c>
      <c r="B46" s="10">
        <f t="shared" si="2"/>
        <v>74.637235463116539</v>
      </c>
      <c r="C46" s="10">
        <f t="shared" si="2"/>
        <v>87.110564111828694</v>
      </c>
      <c r="D46" s="10">
        <f t="shared" si="2"/>
        <v>74.964019435369039</v>
      </c>
    </row>
    <row r="47" spans="1:4" x14ac:dyDescent="0.25">
      <c r="A47" s="5" t="s">
        <v>640</v>
      </c>
      <c r="B47" s="10">
        <f t="shared" si="2"/>
        <v>56.6192753012729</v>
      </c>
      <c r="C47" s="10">
        <f t="shared" si="2"/>
        <v>0.71130072347823781</v>
      </c>
      <c r="D47" s="10">
        <f t="shared" si="2"/>
        <v>2053.741120052021</v>
      </c>
    </row>
    <row r="48" spans="1:4" x14ac:dyDescent="0.25">
      <c r="A48" s="5" t="s">
        <v>641</v>
      </c>
      <c r="B48" s="10">
        <f t="shared" si="2"/>
        <v>5.2725176998745171</v>
      </c>
      <c r="C48" s="10">
        <f t="shared" si="2"/>
        <v>111.29603056017591</v>
      </c>
      <c r="D48" s="10">
        <f t="shared" si="2"/>
        <v>2206.8625649591677</v>
      </c>
    </row>
    <row r="50" spans="1:15" ht="15.75" x14ac:dyDescent="0.25">
      <c r="A50" s="16" t="s">
        <v>650</v>
      </c>
    </row>
    <row r="51" spans="1:15" x14ac:dyDescent="0.25">
      <c r="A51" s="6" t="s">
        <v>651</v>
      </c>
      <c r="B51" s="13"/>
      <c r="C51" s="6" t="s">
        <v>652</v>
      </c>
      <c r="D51" s="13"/>
      <c r="E51" s="6" t="s">
        <v>653</v>
      </c>
      <c r="F51" s="13"/>
      <c r="G51" s="6" t="s">
        <v>654</v>
      </c>
      <c r="H51" s="13"/>
      <c r="I51" s="6" t="s">
        <v>655</v>
      </c>
      <c r="J51" s="13"/>
      <c r="K51" s="17" t="s">
        <v>656</v>
      </c>
      <c r="L51" s="17" t="s">
        <v>657</v>
      </c>
      <c r="M51" s="17" t="s">
        <v>658</v>
      </c>
      <c r="N51" s="17" t="s">
        <v>659</v>
      </c>
      <c r="O51" s="17" t="s">
        <v>660</v>
      </c>
    </row>
    <row r="52" spans="1:15" x14ac:dyDescent="0.25">
      <c r="A52" s="18" t="s">
        <v>661</v>
      </c>
      <c r="B52" s="18" t="s">
        <v>3</v>
      </c>
      <c r="C52" s="18" t="s">
        <v>626</v>
      </c>
      <c r="D52" s="18" t="s">
        <v>627</v>
      </c>
      <c r="E52" s="18" t="s">
        <v>626</v>
      </c>
      <c r="F52" s="18" t="s">
        <v>627</v>
      </c>
      <c r="G52" s="18" t="s">
        <v>626</v>
      </c>
      <c r="H52" s="18" t="s">
        <v>627</v>
      </c>
      <c r="I52" s="18" t="s">
        <v>626</v>
      </c>
      <c r="J52" s="18" t="s">
        <v>627</v>
      </c>
      <c r="K52" s="19" t="s">
        <v>662</v>
      </c>
      <c r="L52" s="19" t="s">
        <v>638</v>
      </c>
      <c r="M52" s="19" t="s">
        <v>639</v>
      </c>
      <c r="N52" s="19" t="s">
        <v>640</v>
      </c>
      <c r="O52" s="19" t="s">
        <v>641</v>
      </c>
    </row>
    <row r="53" spans="1:15" x14ac:dyDescent="0.25">
      <c r="A53" s="3" t="s">
        <v>113</v>
      </c>
      <c r="B53" s="8">
        <v>300</v>
      </c>
      <c r="C53" s="20">
        <f>AVERAGEIFS(kpdwfs_results!$G$2:$G$601,kpdwfs_results!$B$2:$B$601,1,kpdwfs_results!$C$2:$C$601,"NC",kpdwfs_results!$D$2:$D$601,$B53)</f>
        <v>0.41312999999999994</v>
      </c>
      <c r="D53" s="20">
        <f>AVERAGEIFS(kpdwfs_results!$I$2:$I$601,kpdwfs_results!$B$2:$B$601,1,kpdwfs_results!$C$2:$C$601,"NC",kpdwfs_results!$D$2:$D$601,$B53)</f>
        <v>1.8410000000000003E-2</v>
      </c>
      <c r="E53" s="20">
        <f>AVERAGEIFS(kpdwfs_results!$G$2:$G$601,kpdwfs_results!$B$2:$B$601,2,kpdwfs_results!$C$2:$C$601,"NC",kpdwfs_results!$D$2:$D$601,$B53)</f>
        <v>0.85384000000000015</v>
      </c>
      <c r="F53" s="20">
        <f>AVERAGEIFS(kpdwfs_results!$I$2:$I$601,kpdwfs_results!$B$2:$B$601,2,kpdwfs_results!$C$2:$C$601,"NC",kpdwfs_results!$D$2:$D$601,$B53)</f>
        <v>2.9320000000000002E-2</v>
      </c>
      <c r="G53" s="20">
        <f>AVERAGEIFS(kpdwfs_results!$G$2:$G$601,kpdwfs_results!$B$2:$B$601,3,kpdwfs_results!$C$2:$C$601,"NC",kpdwfs_results!$D$2:$D$601,$B53)</f>
        <v>0.39659</v>
      </c>
      <c r="H53" s="20">
        <f>AVERAGEIFS(kpdwfs_results!$I$2:$I$601,kpdwfs_results!$B$2:$B$601,3,kpdwfs_results!$C$2:$C$601,"NC",kpdwfs_results!$D$2:$D$601,$B53)</f>
        <v>1.2280000000000001E-2</v>
      </c>
      <c r="I53" s="20">
        <f>AVERAGEIFS(kpdwfs_results!$G$2:$G$601,kpdwfs_results!$B$2:$B$601,4,kpdwfs_results!$C$2:$C$601,"NC",kpdwfs_results!$D$2:$D$601,$B53)</f>
        <v>0.76080999999999999</v>
      </c>
      <c r="J53" s="20">
        <f>AVERAGEIFS(kpdwfs_results!$I$2:$I$601,kpdwfs_results!$B$2:$B$601,4,kpdwfs_results!$C$2:$C$601,"NC",kpdwfs_results!$D$2:$D$601,$B53)</f>
        <v>1.2039999999999999E-2</v>
      </c>
      <c r="K53" s="21" t="s">
        <v>646</v>
      </c>
    </row>
    <row r="54" spans="1:15" x14ac:dyDescent="0.25">
      <c r="B54" s="8">
        <v>500</v>
      </c>
      <c r="C54" s="20">
        <f>AVERAGEIFS(kpdwfs_results!$G$2:$G$601,kpdwfs_results!$B$2:$B$601,1,kpdwfs_results!$C$2:$C$601,"NC",kpdwfs_results!$D$2:$D$601,$B54)</f>
        <v>2.0700099999999995</v>
      </c>
      <c r="D54" s="20">
        <f>AVERAGEIFS(kpdwfs_results!$I$2:$I$601,kpdwfs_results!$B$2:$B$601,1,kpdwfs_results!$C$2:$C$601,"NC",kpdwfs_results!$D$2:$D$601,$B54)</f>
        <v>4.3090000000000003E-2</v>
      </c>
      <c r="E54" s="20">
        <f>AVERAGEIFS(kpdwfs_results!$G$2:$G$601,kpdwfs_results!$B$2:$B$601,2,kpdwfs_results!$C$2:$C$601,"NC",kpdwfs_results!$D$2:$D$601,$B54)</f>
        <v>2.1467999999999998</v>
      </c>
      <c r="F54" s="20">
        <f>AVERAGEIFS(kpdwfs_results!$I$2:$I$601,kpdwfs_results!$B$2:$B$601,2,kpdwfs_results!$C$2:$C$601,"NC",kpdwfs_results!$D$2:$D$601,$B54)</f>
        <v>3.8800000000000001E-2</v>
      </c>
      <c r="G54" s="20">
        <f>AVERAGEIFS(kpdwfs_results!$G$2:$G$601,kpdwfs_results!$B$2:$B$601,3,kpdwfs_results!$C$2:$C$601,"NC",kpdwfs_results!$D$2:$D$601,$B54)</f>
        <v>6.73421</v>
      </c>
      <c r="H54" s="20">
        <f>AVERAGEIFS(kpdwfs_results!$I$2:$I$601,kpdwfs_results!$B$2:$B$601,3,kpdwfs_results!$C$2:$C$601,"NC",kpdwfs_results!$D$2:$D$601,$B54)</f>
        <v>1.9840000000000003E-2</v>
      </c>
      <c r="I54" s="20">
        <f>AVERAGEIFS(kpdwfs_results!$G$2:$G$601,kpdwfs_results!$B$2:$B$601,4,kpdwfs_results!$C$2:$C$601,"NC",kpdwfs_results!$D$2:$D$601,$B54)</f>
        <v>5.1885500000000002</v>
      </c>
      <c r="J54" s="20">
        <f>AVERAGEIFS(kpdwfs_results!$I$2:$I$601,kpdwfs_results!$B$2:$B$601,4,kpdwfs_results!$C$2:$C$601,"NC",kpdwfs_results!$D$2:$D$601,$B54)</f>
        <v>1.9130000000000001E-2</v>
      </c>
      <c r="K54" s="21" t="s">
        <v>646</v>
      </c>
    </row>
    <row r="55" spans="1:15" x14ac:dyDescent="0.25">
      <c r="B55" s="8">
        <v>700</v>
      </c>
      <c r="C55" s="20">
        <f>AVERAGEIFS(kpdwfs_results!$G$2:$G$601,kpdwfs_results!$B$2:$B$601,1,kpdwfs_results!$C$2:$C$601,"NC",kpdwfs_results!$D$2:$D$601,$B55)</f>
        <v>5.2563300000000002</v>
      </c>
      <c r="D55" s="20">
        <f>AVERAGEIFS(kpdwfs_results!$I$2:$I$601,kpdwfs_results!$B$2:$B$601,1,kpdwfs_results!$C$2:$C$601,"NC",kpdwfs_results!$D$2:$D$601,$B55)</f>
        <v>7.9640000000000016E-2</v>
      </c>
      <c r="E55" s="20">
        <f>AVERAGEIFS(kpdwfs_results!$G$2:$G$601,kpdwfs_results!$B$2:$B$601,2,kpdwfs_results!$C$2:$C$601,"NC",kpdwfs_results!$D$2:$D$601,$B55)</f>
        <v>3.8491399999999993</v>
      </c>
      <c r="F55" s="20">
        <f>AVERAGEIFS(kpdwfs_results!$I$2:$I$601,kpdwfs_results!$B$2:$B$601,2,kpdwfs_results!$C$2:$C$601,"NC",kpdwfs_results!$D$2:$D$601,$B55)</f>
        <v>5.2039999999999996E-2</v>
      </c>
      <c r="G55" s="20">
        <f>AVERAGEIFS(kpdwfs_results!$G$2:$G$601,kpdwfs_results!$B$2:$B$601,3,kpdwfs_results!$C$2:$C$601,"NC",kpdwfs_results!$D$2:$D$601,$B55)</f>
        <v>23.681990000000003</v>
      </c>
      <c r="H55" s="20">
        <f>AVERAGEIFS(kpdwfs_results!$I$2:$I$601,kpdwfs_results!$B$2:$B$601,3,kpdwfs_results!$C$2:$C$601,"NC",kpdwfs_results!$D$2:$D$601,$B55)</f>
        <v>2.5799999999999997E-2</v>
      </c>
      <c r="I55" s="20">
        <f>AVERAGEIFS(kpdwfs_results!$G$2:$G$601,kpdwfs_results!$B$2:$B$601,4,kpdwfs_results!$C$2:$C$601,"NC",kpdwfs_results!$D$2:$D$601,$B55)</f>
        <v>22.942450000000001</v>
      </c>
      <c r="J55" s="20">
        <f>AVERAGEIFS(kpdwfs_results!$I$2:$I$601,kpdwfs_results!$B$2:$B$601,4,kpdwfs_results!$C$2:$C$601,"NC",kpdwfs_results!$D$2:$D$601,$B55)</f>
        <v>2.0310000000000002E-2</v>
      </c>
      <c r="K55" s="21" t="s">
        <v>646</v>
      </c>
    </row>
    <row r="56" spans="1:15" x14ac:dyDescent="0.25">
      <c r="B56" s="8">
        <v>800</v>
      </c>
      <c r="C56" s="20">
        <f>AVERAGEIFS(kpdwfs_results!$G$2:$G$601,kpdwfs_results!$B$2:$B$601,1,kpdwfs_results!$C$2:$C$601,"NC",kpdwfs_results!$D$2:$D$601,$B56)</f>
        <v>5.9444800000000004</v>
      </c>
      <c r="D56" s="20">
        <f>AVERAGEIFS(kpdwfs_results!$I$2:$I$601,kpdwfs_results!$B$2:$B$601,1,kpdwfs_results!$C$2:$C$601,"NC",kpdwfs_results!$D$2:$D$601,$B56)</f>
        <v>9.0899999999999995E-2</v>
      </c>
      <c r="E56" s="20">
        <f>AVERAGEIFS(kpdwfs_results!$G$2:$G$601,kpdwfs_results!$B$2:$B$601,2,kpdwfs_results!$C$2:$C$601,"NC",kpdwfs_results!$D$2:$D$601,$B56)</f>
        <v>3.9351200000000004</v>
      </c>
      <c r="F56" s="20">
        <f>AVERAGEIFS(kpdwfs_results!$I$2:$I$601,kpdwfs_results!$B$2:$B$601,2,kpdwfs_results!$C$2:$C$601,"NC",kpdwfs_results!$D$2:$D$601,$B56)</f>
        <v>5.600999999999999E-2</v>
      </c>
      <c r="G56" s="20">
        <f>AVERAGEIFS(kpdwfs_results!$G$2:$G$601,kpdwfs_results!$B$2:$B$601,3,kpdwfs_results!$C$2:$C$601,"NC",kpdwfs_results!$D$2:$D$601,$B56)</f>
        <v>70.108620000000002</v>
      </c>
      <c r="H56" s="20">
        <f>AVERAGEIFS(kpdwfs_results!$I$2:$I$601,kpdwfs_results!$B$2:$B$601,3,kpdwfs_results!$C$2:$C$601,"NC",kpdwfs_results!$D$2:$D$601,$B56)</f>
        <v>3.1740000000000004E-2</v>
      </c>
      <c r="I56" s="20">
        <f>AVERAGEIFS(kpdwfs_results!$G$2:$G$601,kpdwfs_results!$B$2:$B$601,4,kpdwfs_results!$C$2:$C$601,"NC",kpdwfs_results!$D$2:$D$601,$B56)</f>
        <v>66.181479999999993</v>
      </c>
      <c r="J56" s="20">
        <f>AVERAGEIFS(kpdwfs_results!$I$2:$I$601,kpdwfs_results!$B$2:$B$601,4,kpdwfs_results!$C$2:$C$601,"NC",kpdwfs_results!$D$2:$D$601,$B56)</f>
        <v>2.4410000000000008E-2</v>
      </c>
      <c r="K56" s="21" t="s">
        <v>646</v>
      </c>
    </row>
    <row r="57" spans="1:15" x14ac:dyDescent="0.25">
      <c r="B57" s="8">
        <v>1000</v>
      </c>
      <c r="C57" s="20">
        <f>AVERAGEIFS(kpdwfs_results!$G$2:$G$601,kpdwfs_results!$B$2:$B$601,1,kpdwfs_results!$C$2:$C$601,"NC",kpdwfs_results!$D$2:$D$601,$B57)</f>
        <v>16.894359999999999</v>
      </c>
      <c r="D57" s="20">
        <f>AVERAGEIFS(kpdwfs_results!$I$2:$I$601,kpdwfs_results!$B$2:$B$601,1,kpdwfs_results!$C$2:$C$601,"NC",kpdwfs_results!$D$2:$D$601,$B57)</f>
        <v>9.7539999999999988E-2</v>
      </c>
      <c r="E57" s="20">
        <f>AVERAGEIFS(kpdwfs_results!$G$2:$G$601,kpdwfs_results!$B$2:$B$601,2,kpdwfs_results!$C$2:$C$601,"NC",kpdwfs_results!$D$2:$D$601,$B57)</f>
        <v>7.1120100000000006</v>
      </c>
      <c r="F57" s="20">
        <f>AVERAGEIFS(kpdwfs_results!$I$2:$I$601,kpdwfs_results!$B$2:$B$601,2,kpdwfs_results!$C$2:$C$601,"NC",kpdwfs_results!$D$2:$D$601,$B57)</f>
        <v>6.2570000000000001E-2</v>
      </c>
      <c r="G57" s="20">
        <f>AVERAGEIFS(kpdwfs_results!$G$2:$G$601,kpdwfs_results!$B$2:$B$601,3,kpdwfs_results!$C$2:$C$601,"NC",kpdwfs_results!$D$2:$D$601,$B57)</f>
        <v>151.75036</v>
      </c>
      <c r="H57" s="20">
        <f>AVERAGEIFS(kpdwfs_results!$I$2:$I$601,kpdwfs_results!$B$2:$B$601,3,kpdwfs_results!$C$2:$C$601,"NC",kpdwfs_results!$D$2:$D$601,$B57)</f>
        <v>3.3369999999999997E-2</v>
      </c>
      <c r="I57" s="20">
        <f>AVERAGEIFS(kpdwfs_results!$G$2:$G$601,kpdwfs_results!$B$2:$B$601,4,kpdwfs_results!$C$2:$C$601,"NC",kpdwfs_results!$D$2:$D$601,$B57)</f>
        <v>142.73822000000001</v>
      </c>
      <c r="J57" s="20">
        <f>AVERAGEIFS(kpdwfs_results!$I$2:$I$601,kpdwfs_results!$B$2:$B$601,4,kpdwfs_results!$C$2:$C$601,"NC",kpdwfs_results!$D$2:$D$601,$B57)</f>
        <v>3.1869999999999996E-2</v>
      </c>
      <c r="K57" s="21" t="s">
        <v>646</v>
      </c>
    </row>
    <row r="58" spans="1:15" x14ac:dyDescent="0.25">
      <c r="A58" s="3" t="s">
        <v>11</v>
      </c>
      <c r="B58" s="8">
        <v>300</v>
      </c>
      <c r="C58" s="20">
        <f>AVERAGEIFS(kpdwfs_results!$G$2:$G$601,kpdwfs_results!$B$2:$B$601,1,kpdwfs_results!$C$2:$C$601,"C",kpdwfs_results!$D$2:$D$601,$B58)</f>
        <v>0.42438999999999993</v>
      </c>
      <c r="D58" s="20">
        <f>AVERAGEIFS(kpdwfs_results!$I$2:$I$601,kpdwfs_results!$B$2:$B$601,1,kpdwfs_results!$C$2:$C$601,"C",kpdwfs_results!$D$2:$D$601,$B58)</f>
        <v>9.2969999999999997E-2</v>
      </c>
      <c r="E58" s="20">
        <f>AVERAGEIFS(kpdwfs_results!$G$2:$G$601,kpdwfs_results!$B$2:$B$601,2,kpdwfs_results!$C$2:$C$601,"C",kpdwfs_results!$D$2:$D$601,$B58)</f>
        <v>0.85119000000000011</v>
      </c>
      <c r="F58" s="20">
        <f>AVERAGEIFS(kpdwfs_results!$I$2:$I$601,kpdwfs_results!$B$2:$B$601,2,kpdwfs_results!$C$2:$C$601,"C",kpdwfs_results!$D$2:$D$601,$B58)</f>
        <v>3.1570000000000001E-2</v>
      </c>
      <c r="G58" s="20">
        <f>AVERAGEIFS(kpdwfs_results!$G$2:$G$601,kpdwfs_results!$B$2:$B$601,3,kpdwfs_results!$C$2:$C$601,"C",kpdwfs_results!$D$2:$D$601,$B58)</f>
        <v>0.41254999999999997</v>
      </c>
      <c r="H58" s="20">
        <f>AVERAGEIFS(kpdwfs_results!$I$2:$I$601,kpdwfs_results!$B$2:$B$601,3,kpdwfs_results!$C$2:$C$601,"C",kpdwfs_results!$D$2:$D$601,$B58)</f>
        <v>2.6110000000000001E-2</v>
      </c>
      <c r="I58" s="20">
        <f>AVERAGEIFS(kpdwfs_results!$G$2:$G$601,kpdwfs_results!$B$2:$B$601,4,kpdwfs_results!$C$2:$C$601,"C",kpdwfs_results!$D$2:$D$601,$B58)</f>
        <v>0.7893</v>
      </c>
      <c r="J58" s="20">
        <f>AVERAGEIFS(kpdwfs_results!$I$2:$I$601,kpdwfs_results!$B$2:$B$601,4,kpdwfs_results!$C$2:$C$601,"C",kpdwfs_results!$D$2:$D$601,$B58)</f>
        <v>3.5770000000000003E-2</v>
      </c>
      <c r="K58" s="21" t="s">
        <v>644</v>
      </c>
    </row>
    <row r="59" spans="1:15" x14ac:dyDescent="0.25">
      <c r="B59" s="8">
        <v>500</v>
      </c>
      <c r="C59" s="20">
        <f>AVERAGEIFS(kpdwfs_results!$G$2:$G$601,kpdwfs_results!$B$2:$B$601,1,kpdwfs_results!$C$2:$C$601,"C",kpdwfs_results!$D$2:$D$601,$B59)</f>
        <v>2.0581200000000002</v>
      </c>
      <c r="D59" s="20">
        <f>AVERAGEIFS(kpdwfs_results!$I$2:$I$601,kpdwfs_results!$B$2:$B$601,1,kpdwfs_results!$C$2:$C$601,"C",kpdwfs_results!$D$2:$D$601,$B59)</f>
        <v>6.2890000000000015E-2</v>
      </c>
      <c r="E59" s="20">
        <f>AVERAGEIFS(kpdwfs_results!$G$2:$G$601,kpdwfs_results!$B$2:$B$601,2,kpdwfs_results!$C$2:$C$601,"C",kpdwfs_results!$D$2:$D$601,$B59)</f>
        <v>2.3054399999999999</v>
      </c>
      <c r="F59" s="20">
        <f>AVERAGEIFS(kpdwfs_results!$I$2:$I$601,kpdwfs_results!$B$2:$B$601,2,kpdwfs_results!$C$2:$C$601,"C",kpdwfs_results!$D$2:$D$601,$B59)</f>
        <v>5.6440000000000004E-2</v>
      </c>
      <c r="G59" s="20">
        <f>AVERAGEIFS(kpdwfs_results!$G$2:$G$601,kpdwfs_results!$B$2:$B$601,3,kpdwfs_results!$C$2:$C$601,"C",kpdwfs_results!$D$2:$D$601,$B59)</f>
        <v>7.5299499999999995</v>
      </c>
      <c r="H59" s="20">
        <f>AVERAGEIFS(kpdwfs_results!$I$2:$I$601,kpdwfs_results!$B$2:$B$601,3,kpdwfs_results!$C$2:$C$601,"C",kpdwfs_results!$D$2:$D$601,$B59)</f>
        <v>5.0209999999999998E-2</v>
      </c>
      <c r="I59" s="20">
        <f>AVERAGEIFS(kpdwfs_results!$G$2:$G$601,kpdwfs_results!$B$2:$B$601,4,kpdwfs_results!$C$2:$C$601,"C",kpdwfs_results!$D$2:$D$601,$B59)</f>
        <v>5.4531300000000007</v>
      </c>
      <c r="J59" s="20">
        <f>AVERAGEIFS(kpdwfs_results!$I$2:$I$601,kpdwfs_results!$B$2:$B$601,4,kpdwfs_results!$C$2:$C$601,"C",kpdwfs_results!$D$2:$D$601,$B59)</f>
        <v>7.2910000000000003E-2</v>
      </c>
      <c r="K59" s="21" t="s">
        <v>644</v>
      </c>
    </row>
    <row r="60" spans="1:15" x14ac:dyDescent="0.25">
      <c r="B60" s="8">
        <v>700</v>
      </c>
      <c r="C60" s="20">
        <f>AVERAGEIFS(kpdwfs_results!$G$2:$G$601,kpdwfs_results!$B$2:$B$601,1,kpdwfs_results!$C$2:$C$601,"C",kpdwfs_results!$D$2:$D$601,$B60)</f>
        <v>5.1780400000000002</v>
      </c>
      <c r="D60" s="20">
        <f>AVERAGEIFS(kpdwfs_results!$I$2:$I$601,kpdwfs_results!$B$2:$B$601,1,kpdwfs_results!$C$2:$C$601,"C",kpdwfs_results!$D$2:$D$601,$B60)</f>
        <v>8.3799999999999999E-2</v>
      </c>
      <c r="E60" s="20">
        <f>AVERAGEIFS(kpdwfs_results!$G$2:$G$601,kpdwfs_results!$B$2:$B$601,2,kpdwfs_results!$C$2:$C$601,"C",kpdwfs_results!$D$2:$D$601,$B60)</f>
        <v>4.0358900000000002</v>
      </c>
      <c r="F60" s="20">
        <f>AVERAGEIFS(kpdwfs_results!$I$2:$I$601,kpdwfs_results!$B$2:$B$601,2,kpdwfs_results!$C$2:$C$601,"C",kpdwfs_results!$D$2:$D$601,$B60)</f>
        <v>5.213000000000001E-2</v>
      </c>
      <c r="G60" s="20">
        <f>AVERAGEIFS(kpdwfs_results!$G$2:$G$601,kpdwfs_results!$B$2:$B$601,3,kpdwfs_results!$C$2:$C$601,"C",kpdwfs_results!$D$2:$D$601,$B60)</f>
        <v>24.770439999999997</v>
      </c>
      <c r="H60" s="20">
        <f>AVERAGEIFS(kpdwfs_results!$I$2:$I$601,kpdwfs_results!$B$2:$B$601,3,kpdwfs_results!$C$2:$C$601,"C",kpdwfs_results!$D$2:$D$601,$B60)</f>
        <v>0.12085000000000001</v>
      </c>
      <c r="I60" s="20">
        <f>AVERAGEIFS(kpdwfs_results!$G$2:$G$601,kpdwfs_results!$B$2:$B$601,4,kpdwfs_results!$C$2:$C$601,"C",kpdwfs_results!$D$2:$D$601,$B60)</f>
        <v>23.035980000000002</v>
      </c>
      <c r="J60" s="20">
        <f>AVERAGEIFS(kpdwfs_results!$I$2:$I$601,kpdwfs_results!$B$2:$B$601,4,kpdwfs_results!$C$2:$C$601,"C",kpdwfs_results!$D$2:$D$601,$B60)</f>
        <v>5.157210000000001</v>
      </c>
      <c r="K60" s="21" t="s">
        <v>644</v>
      </c>
    </row>
    <row r="61" spans="1:15" x14ac:dyDescent="0.25">
      <c r="B61" s="8">
        <v>800</v>
      </c>
      <c r="C61" s="20">
        <f>AVERAGEIFS(kpdwfs_results!$G$2:$G$601,kpdwfs_results!$B$2:$B$601,1,kpdwfs_results!$C$2:$C$601,"C",kpdwfs_results!$D$2:$D$601,$B61)</f>
        <v>6.1097199999999994</v>
      </c>
      <c r="D61" s="20">
        <f>AVERAGEIFS(kpdwfs_results!$I$2:$I$601,kpdwfs_results!$B$2:$B$601,1,kpdwfs_results!$C$2:$C$601,"C",kpdwfs_results!$D$2:$D$601,$B61)</f>
        <v>8.9040000000000008E-2</v>
      </c>
      <c r="E61" s="20">
        <f>AVERAGEIFS(kpdwfs_results!$G$2:$G$601,kpdwfs_results!$B$2:$B$601,2,kpdwfs_results!$C$2:$C$601,"C",kpdwfs_results!$D$2:$D$601,$B61)</f>
        <v>4.1018299999999996</v>
      </c>
      <c r="F61" s="20">
        <f>AVERAGEIFS(kpdwfs_results!$I$2:$I$601,kpdwfs_results!$B$2:$B$601,2,kpdwfs_results!$C$2:$C$601,"C",kpdwfs_results!$D$2:$D$601,$B61)</f>
        <v>5.2330000000000002E-2</v>
      </c>
      <c r="G61" s="20">
        <f>AVERAGEIFS(kpdwfs_results!$G$2:$G$601,kpdwfs_results!$B$2:$B$601,3,kpdwfs_results!$C$2:$C$601,"C",kpdwfs_results!$D$2:$D$601,$B61)</f>
        <v>76.768220000000014</v>
      </c>
      <c r="H61" s="20">
        <f>AVERAGEIFS(kpdwfs_results!$I$2:$I$601,kpdwfs_results!$B$2:$B$601,3,kpdwfs_results!$C$2:$C$601,"C",kpdwfs_results!$D$2:$D$601,$B61)</f>
        <v>5.8389999999999997E-2</v>
      </c>
      <c r="I61" s="20">
        <f>AVERAGEIFS(kpdwfs_results!$G$2:$G$601,kpdwfs_results!$B$2:$B$601,4,kpdwfs_results!$C$2:$C$601,"C",kpdwfs_results!$D$2:$D$601,$B61)</f>
        <v>62.234439999999992</v>
      </c>
      <c r="J61" s="20">
        <f>AVERAGEIFS(kpdwfs_results!$I$2:$I$601,kpdwfs_results!$B$2:$B$601,4,kpdwfs_results!$C$2:$C$601,"C",kpdwfs_results!$D$2:$D$601,$B61)</f>
        <v>39.575566666666674</v>
      </c>
      <c r="K61" s="21" t="s">
        <v>644</v>
      </c>
    </row>
    <row r="62" spans="1:15" x14ac:dyDescent="0.25">
      <c r="B62" s="8">
        <v>1000</v>
      </c>
      <c r="C62" s="20">
        <f>AVERAGEIFS(kpdwfs_results!$G$2:$G$601,kpdwfs_results!$B$2:$B$601,1,kpdwfs_results!$C$2:$C$601,"C",kpdwfs_results!$D$2:$D$601,$B62)</f>
        <v>15.86355</v>
      </c>
      <c r="D62" s="20">
        <f>AVERAGEIFS(kpdwfs_results!$I$2:$I$601,kpdwfs_results!$B$2:$B$601,1,kpdwfs_results!$C$2:$C$601,"C",kpdwfs_results!$D$2:$D$601,$B62)</f>
        <v>0.11403000000000001</v>
      </c>
      <c r="E62" s="20">
        <f>AVERAGEIFS(kpdwfs_results!$G$2:$G$601,kpdwfs_results!$B$2:$B$601,2,kpdwfs_results!$C$2:$C$601,"C",kpdwfs_results!$D$2:$D$601,$B62)</f>
        <v>7.1507499999999995</v>
      </c>
      <c r="F62" s="20">
        <f>AVERAGEIFS(kpdwfs_results!$I$2:$I$601,kpdwfs_results!$B$2:$B$601,2,kpdwfs_results!$C$2:$C$601,"C",kpdwfs_results!$D$2:$D$601,$B62)</f>
        <v>5.466E-2</v>
      </c>
      <c r="G62" s="20">
        <f>AVERAGEIFS(kpdwfs_results!$G$2:$G$601,kpdwfs_results!$B$2:$B$601,3,kpdwfs_results!$C$2:$C$601,"C",kpdwfs_results!$D$2:$D$601,$B62)</f>
        <v>166.07635999999997</v>
      </c>
      <c r="H62" s="20">
        <f>AVERAGEIFS(kpdwfs_results!$I$2:$I$601,kpdwfs_results!$B$2:$B$601,3,kpdwfs_results!$C$2:$C$601,"C",kpdwfs_results!$D$2:$D$601,$B62)</f>
        <v>4.6112899999999994</v>
      </c>
      <c r="I62" s="20">
        <f>AVERAGEIFS(kpdwfs_results!$G$2:$G$601,kpdwfs_results!$B$2:$B$601,4,kpdwfs_results!$C$2:$C$601,"C",kpdwfs_results!$D$2:$D$601,$B62)</f>
        <v>134.71643999999998</v>
      </c>
      <c r="J62" s="20">
        <f>AVERAGEIFS(kpdwfs_results!$I$2:$I$601,kpdwfs_results!$B$2:$B$601,4,kpdwfs_results!$C$2:$C$601,"C",kpdwfs_results!$D$2:$D$601,$B62)</f>
        <v>0.34118888888888882</v>
      </c>
      <c r="K62" s="21" t="s">
        <v>644</v>
      </c>
    </row>
    <row r="63" spans="1:15" x14ac:dyDescent="0.25">
      <c r="A63" s="3" t="s">
        <v>62</v>
      </c>
      <c r="B63" s="8">
        <v>300</v>
      </c>
      <c r="C63" s="20">
        <f>AVERAGEIFS(kpdwfs_results!$G$2:$G$601,kpdwfs_results!$B$2:$B$601,1,kpdwfs_results!$C$2:$C$601,"FC",kpdwfs_results!$D$2:$D$601,$B63)</f>
        <v>0.44702999999999998</v>
      </c>
      <c r="D63" s="20">
        <f>AVERAGEIFS(kpdwfs_results!$I$2:$I$601,kpdwfs_results!$B$2:$B$601,1,kpdwfs_results!$C$2:$C$601,"FC",kpdwfs_results!$D$2:$D$601,$B63)</f>
        <v>4.8160000000000008E-2</v>
      </c>
      <c r="E63" s="20">
        <f>AVERAGEIFS(kpdwfs_results!$G$2:$G$601,kpdwfs_results!$B$2:$B$601,2,kpdwfs_results!$C$2:$C$601,"FC",kpdwfs_results!$D$2:$D$601,$B63)</f>
        <v>0.93781999999999999</v>
      </c>
      <c r="F63" s="20">
        <f>AVERAGEIFS(kpdwfs_results!$I$2:$I$601,kpdwfs_results!$B$2:$B$601,2,kpdwfs_results!$C$2:$C$601,"FC",kpdwfs_results!$D$2:$D$601,$B63)</f>
        <v>3.4749999999999996E-2</v>
      </c>
      <c r="G63" s="20">
        <f>AVERAGEIFS(kpdwfs_results!$G$2:$G$601,kpdwfs_results!$B$2:$B$601,3,kpdwfs_results!$C$2:$C$601,"FC",kpdwfs_results!$D$2:$D$601,$B63)</f>
        <v>0.4083</v>
      </c>
      <c r="H63" s="20">
        <f>AVERAGEIFS(kpdwfs_results!$I$2:$I$601,kpdwfs_results!$B$2:$B$601,3,kpdwfs_results!$C$2:$C$601,"FC",kpdwfs_results!$D$2:$D$601,$B63)</f>
        <v>3.0710000000000005E-2</v>
      </c>
      <c r="I63" s="20">
        <f>AVERAGEIFS(kpdwfs_results!$G$2:$G$601,kpdwfs_results!$B$2:$B$601,4,kpdwfs_results!$C$2:$C$601,"FC",kpdwfs_results!$D$2:$D$601,$B63)</f>
        <v>0.73513000000000006</v>
      </c>
      <c r="J63" s="20">
        <f>AVERAGEIFS(kpdwfs_results!$I$2:$I$601,kpdwfs_results!$B$2:$B$601,4,kpdwfs_results!$C$2:$C$601,"FC",kpdwfs_results!$D$2:$D$601,$B63)</f>
        <v>3.0839999999999996E-2</v>
      </c>
      <c r="K63" s="21" t="s">
        <v>645</v>
      </c>
    </row>
    <row r="64" spans="1:15" x14ac:dyDescent="0.25">
      <c r="B64" s="8">
        <v>500</v>
      </c>
      <c r="C64" s="20">
        <f>AVERAGEIFS(kpdwfs_results!$G$2:$G$601,kpdwfs_results!$B$2:$B$601,1,kpdwfs_results!$C$2:$C$601,"FC",kpdwfs_results!$D$2:$D$601,$B64)</f>
        <v>2.1913</v>
      </c>
      <c r="D64" s="20">
        <f>AVERAGEIFS(kpdwfs_results!$I$2:$I$601,kpdwfs_results!$B$2:$B$601,1,kpdwfs_results!$C$2:$C$601,"FC",kpdwfs_results!$D$2:$D$601,$B64)</f>
        <v>8.2500000000000018E-2</v>
      </c>
      <c r="E64" s="20">
        <f>AVERAGEIFS(kpdwfs_results!$G$2:$G$601,kpdwfs_results!$B$2:$B$601,2,kpdwfs_results!$C$2:$C$601,"FC",kpdwfs_results!$D$2:$D$601,$B64)</f>
        <v>2.3349200000000003</v>
      </c>
      <c r="F64" s="20">
        <f>AVERAGEIFS(kpdwfs_results!$I$2:$I$601,kpdwfs_results!$B$2:$B$601,2,kpdwfs_results!$C$2:$C$601,"FC",kpdwfs_results!$D$2:$D$601,$B64)</f>
        <v>3.8490000000000003E-2</v>
      </c>
      <c r="G64" s="20">
        <f>AVERAGEIFS(kpdwfs_results!$G$2:$G$601,kpdwfs_results!$B$2:$B$601,3,kpdwfs_results!$C$2:$C$601,"FC",kpdwfs_results!$D$2:$D$601,$B64)</f>
        <v>7.2065200000000003</v>
      </c>
      <c r="H64" s="20">
        <f>AVERAGEIFS(kpdwfs_results!$I$2:$I$601,kpdwfs_results!$B$2:$B$601,3,kpdwfs_results!$C$2:$C$601,"FC",kpdwfs_results!$D$2:$D$601,$B64)</f>
        <v>5.034000000000001E-2</v>
      </c>
      <c r="I64" s="20">
        <f>AVERAGEIFS(kpdwfs_results!$G$2:$G$601,kpdwfs_results!$B$2:$B$601,4,kpdwfs_results!$C$2:$C$601,"FC",kpdwfs_results!$D$2:$D$601,$B64)</f>
        <v>5.2529400000000006</v>
      </c>
      <c r="J64" s="20">
        <f>AVERAGEIFS(kpdwfs_results!$I$2:$I$601,kpdwfs_results!$B$2:$B$601,4,kpdwfs_results!$C$2:$C$601,"FC",kpdwfs_results!$D$2:$D$601,$B64)</f>
        <v>0.16251000000000002</v>
      </c>
      <c r="K64" s="21" t="s">
        <v>645</v>
      </c>
    </row>
    <row r="65" spans="1:11" x14ac:dyDescent="0.25">
      <c r="B65" s="8">
        <v>700</v>
      </c>
      <c r="C65" s="20">
        <f>AVERAGEIFS(kpdwfs_results!$G$2:$G$601,kpdwfs_results!$B$2:$B$601,1,kpdwfs_results!$C$2:$C$601,"FC",kpdwfs_results!$D$2:$D$601,$B65)</f>
        <v>5.4594399999999998</v>
      </c>
      <c r="D65" s="20">
        <f>AVERAGEIFS(kpdwfs_results!$I$2:$I$601,kpdwfs_results!$B$2:$B$601,1,kpdwfs_results!$C$2:$C$601,"FC",kpdwfs_results!$D$2:$D$601,$B65)</f>
        <v>7.7520000000000006E-2</v>
      </c>
      <c r="E65" s="20">
        <f>AVERAGEIFS(kpdwfs_results!$G$2:$G$601,kpdwfs_results!$B$2:$B$601,2,kpdwfs_results!$C$2:$C$601,"FC",kpdwfs_results!$D$2:$D$601,$B65)</f>
        <v>4.1342799999999995</v>
      </c>
      <c r="F65" s="20">
        <f>AVERAGEIFS(kpdwfs_results!$I$2:$I$601,kpdwfs_results!$B$2:$B$601,2,kpdwfs_results!$C$2:$C$601,"FC",kpdwfs_results!$D$2:$D$601,$B65)</f>
        <v>4.453E-2</v>
      </c>
      <c r="G65" s="20">
        <f>AVERAGEIFS(kpdwfs_results!$G$2:$G$601,kpdwfs_results!$B$2:$B$601,3,kpdwfs_results!$C$2:$C$601,"FC",kpdwfs_results!$D$2:$D$601,$B65)</f>
        <v>23.005090000000003</v>
      </c>
      <c r="H65" s="20">
        <f>AVERAGEIFS(kpdwfs_results!$I$2:$I$601,kpdwfs_results!$B$2:$B$601,3,kpdwfs_results!$C$2:$C$601,"FC",kpdwfs_results!$D$2:$D$601,$B65)</f>
        <v>6.6640000000000005E-2</v>
      </c>
      <c r="I65" s="20">
        <f>AVERAGEIFS(kpdwfs_results!$G$2:$G$601,kpdwfs_results!$B$2:$B$601,4,kpdwfs_results!$C$2:$C$601,"FC",kpdwfs_results!$D$2:$D$601,$B65)</f>
        <v>22.563959999999998</v>
      </c>
      <c r="J65" s="20">
        <f>AVERAGEIFS(kpdwfs_results!$I$2:$I$601,kpdwfs_results!$B$2:$B$601,4,kpdwfs_results!$C$2:$C$601,"FC",kpdwfs_results!$D$2:$D$601,$B65)</f>
        <v>1.7067400000000004</v>
      </c>
      <c r="K65" s="21" t="s">
        <v>645</v>
      </c>
    </row>
    <row r="66" spans="1:11" x14ac:dyDescent="0.25">
      <c r="B66" s="8">
        <v>800</v>
      </c>
      <c r="C66" s="20">
        <f>AVERAGEIFS(kpdwfs_results!$G$2:$G$601,kpdwfs_results!$B$2:$B$601,1,kpdwfs_results!$C$2:$C$601,"FC",kpdwfs_results!$D$2:$D$601,$B66)</f>
        <v>6.1846899999999998</v>
      </c>
      <c r="D66" s="20">
        <f>AVERAGEIFS(kpdwfs_results!$I$2:$I$601,kpdwfs_results!$B$2:$B$601,1,kpdwfs_results!$C$2:$C$601,"FC",kpdwfs_results!$D$2:$D$601,$B66)</f>
        <v>8.3790000000000003E-2</v>
      </c>
      <c r="E66" s="20">
        <f>AVERAGEIFS(kpdwfs_results!$G$2:$G$601,kpdwfs_results!$B$2:$B$601,2,kpdwfs_results!$C$2:$C$601,"FC",kpdwfs_results!$D$2:$D$601,$B66)</f>
        <v>4.09131</v>
      </c>
      <c r="F66" s="20">
        <f>AVERAGEIFS(kpdwfs_results!$I$2:$I$601,kpdwfs_results!$B$2:$B$601,2,kpdwfs_results!$C$2:$C$601,"FC",kpdwfs_results!$D$2:$D$601,$B66)</f>
        <v>5.3030000000000001E-2</v>
      </c>
      <c r="G66" s="20">
        <f>AVERAGEIFS(kpdwfs_results!$G$2:$G$601,kpdwfs_results!$B$2:$B$601,3,kpdwfs_results!$C$2:$C$601,"FC",kpdwfs_results!$D$2:$D$601,$B66)</f>
        <v>70.235849999999999</v>
      </c>
      <c r="H66" s="20">
        <f>AVERAGEIFS(kpdwfs_results!$I$2:$I$601,kpdwfs_results!$B$2:$B$601,3,kpdwfs_results!$C$2:$C$601,"FC",kpdwfs_results!$D$2:$D$601,$B66)</f>
        <v>6.1880000000000011E-2</v>
      </c>
      <c r="I66" s="20">
        <f>AVERAGEIFS(kpdwfs_results!$G$2:$G$601,kpdwfs_results!$B$2:$B$601,4,kpdwfs_results!$C$2:$C$601,"FC",kpdwfs_results!$D$2:$D$601,$B66)</f>
        <v>67.535669999999996</v>
      </c>
      <c r="J66" s="20">
        <f>AVERAGEIFS(kpdwfs_results!$I$2:$I$601,kpdwfs_results!$B$2:$B$601,4,kpdwfs_results!$C$2:$C$601,"FC",kpdwfs_results!$D$2:$D$601,$B66)</f>
        <v>4.4319999999999991E-2</v>
      </c>
      <c r="K66" s="21" t="s">
        <v>645</v>
      </c>
    </row>
    <row r="67" spans="1:11" x14ac:dyDescent="0.25">
      <c r="B67" s="8">
        <v>1000</v>
      </c>
      <c r="C67" s="20">
        <f>AVERAGEIFS(kpdwfs_results!$G$2:$G$601,kpdwfs_results!$B$2:$B$601,1,kpdwfs_results!$C$2:$C$601,"FC",kpdwfs_results!$D$2:$D$601,$B67)</f>
        <v>17.719580000000001</v>
      </c>
      <c r="D67" s="20">
        <f>AVERAGEIFS(kpdwfs_results!$I$2:$I$601,kpdwfs_results!$B$2:$B$601,1,kpdwfs_results!$C$2:$C$601,"FC",kpdwfs_results!$D$2:$D$601,$B67)</f>
        <v>8.2640000000000005E-2</v>
      </c>
      <c r="E67" s="20">
        <f>AVERAGEIFS(kpdwfs_results!$G$2:$G$601,kpdwfs_results!$B$2:$B$601,2,kpdwfs_results!$C$2:$C$601,"FC",kpdwfs_results!$D$2:$D$601,$B67)</f>
        <v>7.7888199999999994</v>
      </c>
      <c r="F67" s="20">
        <f>AVERAGEIFS(kpdwfs_results!$I$2:$I$601,kpdwfs_results!$B$2:$B$601,2,kpdwfs_results!$C$2:$C$601,"FC",kpdwfs_results!$D$2:$D$601,$B67)</f>
        <v>5.0610000000000002E-2</v>
      </c>
      <c r="G67" s="20">
        <f>AVERAGEIFS(kpdwfs_results!$G$2:$G$601,kpdwfs_results!$B$2:$B$601,3,kpdwfs_results!$C$2:$C$601,"FC",kpdwfs_results!$D$2:$D$601,$B67)</f>
        <v>151.62868999999998</v>
      </c>
      <c r="H67" s="20">
        <f>AVERAGEIFS(kpdwfs_results!$I$2:$I$601,kpdwfs_results!$B$2:$B$601,3,kpdwfs_results!$C$2:$C$601,"FC",kpdwfs_results!$D$2:$D$601,$B67)</f>
        <v>354.75203999999997</v>
      </c>
      <c r="I67" s="20">
        <f>AVERAGEIFS(kpdwfs_results!$G$2:$G$601,kpdwfs_results!$B$2:$B$601,4,kpdwfs_results!$C$2:$C$601,"FC",kpdwfs_results!$D$2:$D$601,$B67)</f>
        <v>140.77919</v>
      </c>
      <c r="J67" s="20">
        <f>AVERAGEIFS(kpdwfs_results!$I$2:$I$601,kpdwfs_results!$B$2:$B$601,4,kpdwfs_results!$C$2:$C$601,"FC",kpdwfs_results!$D$2:$D$601,$B67)</f>
        <v>0.18385000000000001</v>
      </c>
      <c r="K67" s="21" t="s">
        <v>645</v>
      </c>
    </row>
    <row r="69" spans="1:11" ht="15.75" x14ac:dyDescent="0.25">
      <c r="A69" s="23"/>
    </row>
    <row r="74" spans="1:11" x14ac:dyDescent="0.25">
      <c r="A74" s="22"/>
    </row>
    <row r="78" spans="1:11" x14ac:dyDescent="0.25">
      <c r="A78" s="22"/>
    </row>
    <row r="81" spans="1:11" x14ac:dyDescent="0.25">
      <c r="A81" s="22"/>
    </row>
    <row r="84" spans="1:11" x14ac:dyDescent="0.25">
      <c r="A84" s="22"/>
    </row>
    <row r="87" spans="1:11" x14ac:dyDescent="0.25">
      <c r="A87" s="22"/>
    </row>
    <row r="89" spans="1:1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</row>
    <row r="90" spans="1:1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</row>
    <row r="91" spans="1:1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</row>
    <row r="92" spans="1:1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</row>
    <row r="93" spans="1:1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</row>
    <row r="94" spans="1:1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</row>
    <row r="95" spans="1:1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</row>
    <row r="96" spans="1:1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</row>
    <row r="97" spans="1:10" x14ac:dyDescent="0.25">
      <c r="J97" s="24"/>
    </row>
    <row r="98" spans="1:10" x14ac:dyDescent="0.25">
      <c r="J98" s="24"/>
    </row>
    <row r="102" spans="1:10" x14ac:dyDescent="0.25">
      <c r="A102" s="22"/>
    </row>
    <row r="109" spans="1:10" ht="15.75" x14ac:dyDescent="0.25">
      <c r="A109" s="23" t="s">
        <v>665</v>
      </c>
    </row>
    <row r="110" spans="1:10" x14ac:dyDescent="0.25">
      <c r="A110" t="s">
        <v>666</v>
      </c>
    </row>
    <row r="111" spans="1:10" x14ac:dyDescent="0.25">
      <c r="A111" t="s">
        <v>667</v>
      </c>
    </row>
    <row r="113" spans="1:6" x14ac:dyDescent="0.25">
      <c r="A113" s="22" t="s">
        <v>668</v>
      </c>
    </row>
    <row r="114" spans="1:6" x14ac:dyDescent="0.25">
      <c r="A114" s="13" t="s">
        <v>669</v>
      </c>
      <c r="B114" s="13" t="s">
        <v>670</v>
      </c>
      <c r="C114" s="13" t="s">
        <v>671</v>
      </c>
      <c r="D114" s="13" t="s">
        <v>672</v>
      </c>
      <c r="E114" s="13" t="s">
        <v>673</v>
      </c>
      <c r="F114" s="13" t="s">
        <v>674</v>
      </c>
    </row>
    <row r="115" spans="1:6" x14ac:dyDescent="0.25">
      <c r="A115" t="s">
        <v>675</v>
      </c>
      <c r="B115" s="9">
        <v>17.1709</v>
      </c>
      <c r="C115" s="9">
        <v>23.2775</v>
      </c>
      <c r="D115" s="9">
        <v>0.73770000000000002</v>
      </c>
      <c r="E115" s="9">
        <v>0.4607</v>
      </c>
    </row>
    <row r="116" spans="1:6" x14ac:dyDescent="0.25">
      <c r="A116" t="s">
        <v>3</v>
      </c>
      <c r="B116" s="9">
        <v>-3.4200000000000001E-2</v>
      </c>
      <c r="C116" s="9">
        <v>2.7799999999999998E-2</v>
      </c>
      <c r="D116" s="9">
        <v>-1.2322</v>
      </c>
      <c r="E116" s="9">
        <v>0.21790000000000001</v>
      </c>
    </row>
    <row r="117" spans="1:6" x14ac:dyDescent="0.25">
      <c r="A117" t="s">
        <v>663</v>
      </c>
      <c r="B117" s="9">
        <v>0.35670000000000002</v>
      </c>
      <c r="C117" s="9">
        <v>0.24379999999999999</v>
      </c>
      <c r="D117" s="9">
        <v>1.4635</v>
      </c>
      <c r="E117" s="9">
        <v>0.14330000000000001</v>
      </c>
    </row>
    <row r="118" spans="1:6" x14ac:dyDescent="0.25">
      <c r="A118" t="s">
        <v>664</v>
      </c>
      <c r="B118" s="9">
        <v>-8.5599999999999996E-2</v>
      </c>
      <c r="C118" s="9">
        <v>2.47E-2</v>
      </c>
      <c r="D118" s="9">
        <v>-3.4657</v>
      </c>
      <c r="E118" s="9">
        <v>5.0000000000000001E-4</v>
      </c>
      <c r="F118" s="24" t="s">
        <v>676</v>
      </c>
    </row>
    <row r="119" spans="1:6" x14ac:dyDescent="0.25">
      <c r="A119" t="s">
        <v>677</v>
      </c>
      <c r="B119" s="9">
        <v>17.324999999999999</v>
      </c>
      <c r="C119" s="9">
        <v>14.512700000000001</v>
      </c>
      <c r="D119" s="9">
        <v>1.1938</v>
      </c>
      <c r="E119" s="9">
        <v>0.2326</v>
      </c>
    </row>
    <row r="120" spans="1:6" x14ac:dyDescent="0.25">
      <c r="A120" t="s">
        <v>678</v>
      </c>
      <c r="B120" s="9">
        <v>1.7025999999999999</v>
      </c>
      <c r="C120" s="9">
        <v>14.549099999999999</v>
      </c>
      <c r="D120" s="9">
        <v>0.11700000000000001</v>
      </c>
      <c r="E120" s="9">
        <v>0.90680000000000005</v>
      </c>
    </row>
    <row r="122" spans="1:6" x14ac:dyDescent="0.25">
      <c r="A122" t="s">
        <v>679</v>
      </c>
    </row>
    <row r="123" spans="1:6" x14ac:dyDescent="0.25">
      <c r="A123" t="s">
        <v>680</v>
      </c>
    </row>
    <row r="125" spans="1:6" x14ac:dyDescent="0.25">
      <c r="A125" s="22" t="s">
        <v>681</v>
      </c>
    </row>
    <row r="126" spans="1:6" x14ac:dyDescent="0.25">
      <c r="A126" t="s">
        <v>682</v>
      </c>
    </row>
    <row r="127" spans="1:6" x14ac:dyDescent="0.25">
      <c r="A127" s="13" t="s">
        <v>669</v>
      </c>
      <c r="B127" s="13" t="s">
        <v>670</v>
      </c>
      <c r="C127" s="13" t="s">
        <v>671</v>
      </c>
      <c r="D127" s="13" t="s">
        <v>672</v>
      </c>
      <c r="E127" s="13" t="s">
        <v>673</v>
      </c>
      <c r="F127" s="13" t="s">
        <v>674</v>
      </c>
    </row>
    <row r="128" spans="1:6" x14ac:dyDescent="0.25">
      <c r="A128" t="s">
        <v>675</v>
      </c>
      <c r="B128" s="9">
        <v>69.775800000000004</v>
      </c>
      <c r="C128" s="9">
        <v>3.8982999999999999</v>
      </c>
      <c r="D128" s="9">
        <v>17.899000000000001</v>
      </c>
      <c r="E128" s="25">
        <v>1.2870999999999999</v>
      </c>
      <c r="F128" s="24" t="s">
        <v>676</v>
      </c>
    </row>
    <row r="129" spans="1:6" x14ac:dyDescent="0.25">
      <c r="A129" t="s">
        <v>3</v>
      </c>
      <c r="B129" s="9">
        <v>-4.1599999999999998E-2</v>
      </c>
      <c r="C129" s="9">
        <v>4.5999999999999999E-3</v>
      </c>
      <c r="D129" s="9">
        <v>-8.9863999999999997</v>
      </c>
      <c r="E129" s="25">
        <v>2.5918999999999999</v>
      </c>
      <c r="F129" s="24" t="s">
        <v>676</v>
      </c>
    </row>
    <row r="130" spans="1:6" x14ac:dyDescent="0.25">
      <c r="A130" t="s">
        <v>664</v>
      </c>
      <c r="B130" s="9">
        <v>-0.1255</v>
      </c>
      <c r="C130" s="9">
        <v>4.1000000000000003E-3</v>
      </c>
      <c r="D130" s="9">
        <v>-30.4085</v>
      </c>
      <c r="E130" s="25">
        <v>4.8202999999999996</v>
      </c>
      <c r="F130" s="24" t="s">
        <v>676</v>
      </c>
    </row>
    <row r="131" spans="1:6" x14ac:dyDescent="0.25">
      <c r="A131" t="s">
        <v>663</v>
      </c>
      <c r="B131" s="9">
        <v>-9.4700000000000006E-2</v>
      </c>
      <c r="C131" s="9">
        <v>4.0800000000000003E-2</v>
      </c>
      <c r="D131" s="9">
        <v>-2.3220999999999998</v>
      </c>
      <c r="E131" s="9">
        <v>2.0199999999999999E-2</v>
      </c>
      <c r="F131" s="24" t="s">
        <v>683</v>
      </c>
    </row>
    <row r="132" spans="1:6" x14ac:dyDescent="0.25">
      <c r="A132" t="s">
        <v>677</v>
      </c>
      <c r="B132" s="9">
        <v>0.30590000000000001</v>
      </c>
      <c r="C132" s="9">
        <v>2.4226000000000001</v>
      </c>
      <c r="D132" s="9">
        <v>0.1263</v>
      </c>
      <c r="E132" s="9">
        <v>0.89949999999999997</v>
      </c>
    </row>
    <row r="133" spans="1:6" x14ac:dyDescent="0.25">
      <c r="A133" t="s">
        <v>678</v>
      </c>
      <c r="B133" s="9">
        <v>1.9851000000000001</v>
      </c>
      <c r="C133" s="9">
        <v>2.4258000000000002</v>
      </c>
      <c r="D133" s="9">
        <v>0.81830000000000003</v>
      </c>
      <c r="E133" s="9">
        <v>0.41320000000000001</v>
      </c>
    </row>
    <row r="135" spans="1:6" x14ac:dyDescent="0.25">
      <c r="A135" t="s">
        <v>684</v>
      </c>
    </row>
    <row r="136" spans="1:6" x14ac:dyDescent="0.25">
      <c r="A136" t="s">
        <v>685</v>
      </c>
    </row>
    <row r="138" spans="1:6" x14ac:dyDescent="0.25">
      <c r="A138" s="22" t="s">
        <v>686</v>
      </c>
    </row>
    <row r="139" spans="1:6" x14ac:dyDescent="0.25">
      <c r="A139" t="s">
        <v>687</v>
      </c>
    </row>
    <row r="140" spans="1:6" x14ac:dyDescent="0.25">
      <c r="A140" t="s">
        <v>688</v>
      </c>
    </row>
    <row r="141" spans="1:6" x14ac:dyDescent="0.25">
      <c r="A141" t="s">
        <v>689</v>
      </c>
    </row>
    <row r="142" spans="1:6" x14ac:dyDescent="0.25">
      <c r="A142" t="s">
        <v>690</v>
      </c>
    </row>
    <row r="143" spans="1:6" x14ac:dyDescent="0.25">
      <c r="A143" t="s">
        <v>691</v>
      </c>
    </row>
    <row r="144" spans="1:6" x14ac:dyDescent="0.25">
      <c r="A144" t="s">
        <v>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kpdwfs_results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Dylan Koenders</cp:lastModifiedBy>
  <dcterms:created xsi:type="dcterms:W3CDTF">2026-05-11T13:52:05Z</dcterms:created>
  <dcterms:modified xsi:type="dcterms:W3CDTF">2026-05-18T10:39:41Z</dcterms:modified>
</cp:coreProperties>
</file>